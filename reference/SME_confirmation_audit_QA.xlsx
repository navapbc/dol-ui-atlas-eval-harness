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Read me" sheetId="1" state="visible" r:id="rId3"/>
    <sheet name="Q&amp;A for SME Review" sheetId="2" state="visible" r:id="rId4"/>
  </sheets>
  <definedNames>
    <definedName function="false" hidden="true" localSheetId="1" name="_xlnm._FilterDatabase" vbProcedure="false">'Q&amp;A for SME Review'!$A$1:$L$51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<sst xmlns="http://schemas.openxmlformats.org/spreadsheetml/2006/main" count="461" uniqueCount="338">
  <si>
    <t xml:space="preserve">LOOPS knowledge-base audit: Q&amp;A for SME confirmation</t>
  </si>
  <si>
    <t xml:space="preserve">50 questions we have been asking our LOOPS knowledge assistant, plus the answer we believe is correct. We built these answers from COBOL/JCL source, AWS Transform business-rule extracts, CA-7 schedules and customer documentation. We need an SME to tell us where we are wrong.</t>
  </si>
  <si>
    <t xml:space="preserve">How to fill this in</t>
  </si>
  <si>
    <t xml:space="preserve">Tab to use</t>
  </si>
  <si>
    <t xml:space="preserve">'Q&amp;A for SME Review'. One question per row, grouped by bank (v1 to v6).</t>
  </si>
  <si>
    <t xml:space="preserve">Columns to edit</t>
  </si>
  <si>
    <t xml:space="preserve">ONLY the four yellow columns: Your verdict (I), Your correction / notes (J), Reviewer (K), Date reviewed (L). Everything left of those is ours; please leave it as-is so we can diff against later reviews.</t>
  </si>
  <si>
    <t xml:space="preserve">Your verdict</t>
  </si>
  <si>
    <t xml:space="preserve">Pick from the dropdown: Confirmed / Needs correction / Unsure / N/A. If it is anything other than Confirmed, please say why in column J, however briefly.</t>
  </si>
  <si>
    <t xml:space="preserve">Column H</t>
  </si>
  <si>
    <t xml:space="preserve">'What we need you to confirm' is the short version. If you only have time for one column, read that one.</t>
  </si>
  <si>
    <t xml:space="preserve">Priority rows</t>
  </si>
  <si>
    <t xml:space="preserve">Rows where Status is 'KB self-conflict' or 'Absence claim' are where we are most likely wrong and where your answer is worth the most: v3-Q6 and v4-Q7 (the same Operator 9000 / Terminal 7777 conflict), v6-Q8, and every absence claim.</t>
  </si>
  <si>
    <t xml:space="preserve">Partial answers welcome</t>
  </si>
  <si>
    <t xml:space="preserve">Skipping rows is fine. A blank verdict just means nobody has looked yet.</t>
  </si>
  <si>
    <t xml:space="preserve">What the Status column means</t>
  </si>
  <si>
    <t xml:space="preserve">Source-verified (in KB)</t>
  </si>
  <si>
    <t xml:space="preserve">We read it in the source or the extracted rules. Confirm it still matches production.</t>
  </si>
  <si>
    <t xml:space="preserve">Source-verified + open gap</t>
  </si>
  <si>
    <t xml:space="preserve">The part we state is verified; a named part is missing from our corpus. Both halves need your eye.</t>
  </si>
  <si>
    <t xml:space="preserve">Absence claim (verify with SME)</t>
  </si>
  <si>
    <t xml:space="preserve">We are asserting something is NOT documented anywhere we hold. Tell us if it exists and where.</t>
  </si>
  <si>
    <t xml:space="preserve">KB self-conflict (SME to adjudicate)</t>
  </si>
  <si>
    <t xml:space="preserve">Two documents we hold disagree. We need a ruling, not a citation.</t>
  </si>
  <si>
    <t xml:space="preserve">Premise correction</t>
  </si>
  <si>
    <t xml:space="preserve">The question contained a wrong premise and our answer corrects it. Confirm the correction.</t>
  </si>
  <si>
    <t xml:space="preserve">Absence claim (designed bait)</t>
  </si>
  <si>
    <t xml:space="preserve">A deliberately fake name we planted to test whether the assistant invents an answer. Just confirm it is fake.</t>
  </si>
  <si>
    <t xml:space="preserve">Process probe (no factual claim)</t>
  </si>
  <si>
    <t xml:space="preserve">Tests how the assistant behaves, not what is true. Little for you to confirm.</t>
  </si>
  <si>
    <t xml:space="preserve">Example of a filled row</t>
  </si>
  <si>
    <t xml:space="preserve">Your correction / notes</t>
  </si>
  <si>
    <t xml:space="preserve">Reviewer</t>
  </si>
  <si>
    <t xml:space="preserve">Date reviewed</t>
  </si>
  <si>
    <t xml:space="preserve">Needs correction</t>
  </si>
  <si>
    <t xml:space="preserve">Rule is right but the threshold is 30 days now, changed in 2019.</t>
  </si>
  <si>
    <t xml:space="preserve">J. Rivera</t>
  </si>
  <si>
    <t xml:space="preserve">2026-09-02</t>
  </si>
  <si>
    <t xml:space="preserve">Review progress</t>
  </si>
  <si>
    <t xml:space="preserve">Questions in this workbook</t>
  </si>
  <si>
    <t xml:space="preserve">Reviewed (verdict entered)</t>
  </si>
  <si>
    <t xml:space="preserve">Confirmed</t>
  </si>
  <si>
    <t xml:space="preserve">Unsure</t>
  </si>
  <si>
    <t xml:space="preserve">N/A</t>
  </si>
  <si>
    <t xml:space="preserve">Still to review</t>
  </si>
  <si>
    <t xml:space="preserve">Note on v6</t>
  </si>
  <si>
    <t xml:space="preserve">The v6 rows are a held-out comparison set: their answers must not be pasted into any AI assistant or knowledge base until we have finished the Quick-vs-bundle comparison. SME review by a person is exactly what they are for.</t>
  </si>
  <si>
    <t xml:space="preserve">Bank</t>
  </si>
  <si>
    <t xml:space="preserve">Question ID</t>
  </si>
  <si>
    <t xml:space="preserve">Question type</t>
  </si>
  <si>
    <t xml:space="preserve">Question (as asked)</t>
  </si>
  <si>
    <t xml:space="preserve">Our answer (what we believe is true)</t>
  </si>
  <si>
    <t xml:space="preserve">Where we got it (source)</t>
  </si>
  <si>
    <t xml:space="preserve">Status</t>
  </si>
  <si>
    <t xml:space="preserve">What we need you to confirm</t>
  </si>
  <si>
    <t xml:space="preserve">v1</t>
  </si>
  <si>
    <t xml:space="preserve">v1-Q1</t>
  </si>
  <si>
    <t xml:space="preserve">retrieval</t>
  </si>
  <si>
    <t xml:space="preserve">How does the weekly certification batch process flow from start to finish?</t>
  </si>
  <si>
    <t xml:space="preserve">Pay/no-pay and amount decisions are made in real time at certification (IVR/CICS). By the time batch runs, PAYVSAM/LOOPPAY (paid, 323B) and NOPAY (unpaid, 281B) already hold the outcomes; the batch layer extracts, audits and reports, it does not decide eligibility. Flow: L2DCLNUP nightly housekeeping (trigger-dataset reset) -&gt; nightly VSAM snapshot to dated GDGs -&gt; DXCBDA2R core extract/classification (PARM DAILY/WEEKLY + SYSIN date card; voids -&gt; VOIDIND1; zero-CWE -&gt; BYPASS; entry-source, week-coverage, earnings and benefit-category classification; audit files ADTWEARN, ADTNEARN, ADTONEWK, ADTTWOWK, ADTPRVWK, ADTLPAYS, ADTCWE14) -&gt; AUDITREP summary reports (Combined / WEB-only / PHONE-only, emailed to DOL staff, IT, Kyndryl) -&gt; DXCBDA3S email extract (UI codes 0-99 -&gt; EMAILFLP/EMAILFLN). Cadence: L2DC* daily, L2WC* weekly, L2MCERTS monthly. The module is a flat family of about 20 independently JCL-invoked programs (DXCBDA* plus BC* reconciliation), not a call tree. Benefit-category ranges: UI 0-99, EB 100-199, TUC1 200-299, TUCX 300-399, WFD 500-599, TUCY 600-699, TUCZ 700-799.</t>
  </si>
  <si>
    <t xml:space="preserve">DXCBDA2R (source + BRE), DXCBDA3S, L2DCLNUP, AUDITREP; Weekly Certification space</t>
  </si>
  <si>
    <t xml:space="preserve">Is the real-time-decision / batch-reports-only split correct? Is the job order right, and are any daily or weekly steps missing from this chain?</t>
  </si>
  <si>
    <t xml:space="preserve">v1-Q2</t>
  </si>
  <si>
    <t xml:space="preserve">Explain the role of program DXCBDA2R and its input/output files.</t>
  </si>
  <si>
    <t xml:space="preserve">Batch COBOL main/driver (NJ DOL UI/DI, author Bert Rogado, July 2013): the extract/audit driver for Weekly Certification. It classifies and counts, it does not decide. Inputs: PAYVSAM (DD LOOPPFLE, 323 bytes), NOPAY (DD NOPAYFLE, 281 bytes), SYSIN date control card, JCL PARM (DAILY/WEEKLY). Outputs (350 bytes each): ADTPRVWK/AUDPRVWK, ADTD0629, ADTD0928, ADTONEWK, ADTTWOWK, ADTCWE14, ADTNEARN, ADTWEARN, ADTLPAYS, VOIDIND1/VOIDI1FL, BYPASS/BYPASSFL, plus report file AUDITREP. Processing: 1000-HSKP init; previous-weekend calculation (month/year/leap boundaries); PAYVSAM loop (void -&gt; VOIDIND1, both CWE dates zero -&gt; BYPASS); NOPAY loop (CWE Date 1 zero -&gt; BYPASS); classification on BP88 fields (VOID-IND, OPERATOR-ID-CERT / TERMINAL-ID-CERT, CWE-DATE1/2, EARNINGS-AMOUNT1/2, TRANS-UI-PAY1/2); aged check over 28 days -&gt; ADTCWE14; reports at 4000/4100/4200; 5000 wrap-up control totals. Routing is non-exclusive: one record can land in several audit files. Calls DXCBD00R for $ABENDB error display.</t>
  </si>
  <si>
    <t xml:space="preserve">DXCBDA2R.cbl (source + BRE), Weekly Certification space; DXCBD00R</t>
  </si>
  <si>
    <t xml:space="preserve">Is the input/output file inventory complete and current? Confirm the 28-day aged-check threshold and that a record can legitimately appear in more than one audit file.</t>
  </si>
  <si>
    <t xml:space="preserve">v1-Q3</t>
  </si>
  <si>
    <t xml:space="preserve">What are the business rules for determining pay vs. no-pay outcomes?</t>
  </si>
  <si>
    <t xml:space="preserve">The split is decided in real time (records land in PAYVSAM vs NOPAY). Documented no-pay / suppression reasons from UIMI0440's BP88-CERT-CODE handling: Claim Balance Zero, Benefit Year Ended, Returned to Work, Disqualified, Waiting Week, Underpayment, Multiple Checks (EUB 400-499), Pended Weeks, EB Program Ended. Net-check arithmetic: Gross - Earnings - Pension - Garnishment - Offset/Refund - Other = BP88-CHECK-AMT (derived from source, not a stated rule). Downstream audit rules (DXCBDA3R): WBR = 0 -&gt; audit file; Claim Balance &lt;= WBR x 2 -&gt; exhaustion notification; only UI 0-99 and TUC 200-299 are email-eligible. DXCD036S carries the C012 no-pay conversation. Known gap: the real-time eligibility logic (questionnaire, disqualification/hold conditions, earnings-reduction arithmetic) lives in the CICS front end and is not in our corpus. Note for accuracy: the earnings-reduction arithmetic is in DXCBD87E 262-CALC, not in DXCD037S or the WGPM DXCD034S-&gt;036S-&gt;037S chain.</t>
  </si>
  <si>
    <t xml:space="preserve">UIMI0440 BP88-CERT-CODE, DXCBDA3R, DXCD036S, DXCBD87E 262-CALC</t>
  </si>
  <si>
    <t xml:space="preserve">Is the no-pay / suppression reason list complete? Is the net-check deduction order correct? Where is the real-time eligibility logic documented so we can close the gap?</t>
  </si>
  <si>
    <t xml:space="preserve">v1-Q4</t>
  </si>
  <si>
    <t xml:space="preserve">gap probe</t>
  </si>
  <si>
    <t xml:space="preserve">What is the exact partial-benefit earnings offset formula?</t>
  </si>
  <si>
    <t xml:space="preserve">Source-verified 2026-07-27 against DXCD037S (lines 17927-17934): PWBR = MAX(WBR x 1.2, WBR + $5.00); PWBR = 0 when WBR = 0; stored in UIMV_CLMNT_MON_SUM.AMT_BENFT_WK_PARTL. The +$5 floor branch only matters when WBR is under $25. WBR = (total base wages / base weeks) x 0.6, truncated to whole dollars (PIC S9(5) hold field), base weeks capped at 52; an alternative divisor applies when base weeks is under 20 and a prior monetary determination exists (1430/1440-*-WBR-CALC). What is NOT in the corpus: how reported earnings convert to the BP88-EARNINGS-AMOUNT deduction (the disregard/reduction arithmetic, which lives in DXCBD87E). Cross-check: dol-ui-claimant-api monetary_calculator_service.py matches (0.6 x AWW, 52-week cap, whole-dollar floor) except that its PWBR = floor(WBR x 1.2) has no +$5 branch.</t>
  </si>
  <si>
    <t xml:space="preserve">DXCD037S lines 17927-17934; UIMV_CLMNT_MON_SUM; DXCBD87E; dol-ui-claimant-api monetary_calculator_service.py</t>
  </si>
  <si>
    <t xml:space="preserve">Confirm the PWBR and WBR formulas and the alternate divisor rule (base weeks under 20). Is the +$5 branch reachable in practice, and is the claimant API's missing +$5 a real defect?</t>
  </si>
  <si>
    <t xml:space="preserve">v1-Q5</t>
  </si>
  <si>
    <t xml:space="preserve">What are the T120 category-to-payable-days values?</t>
  </si>
  <si>
    <t xml:space="preserve">The question's premise is wrong (it repeats an old mislabel). Verified by reading T120TABL.cpy directly: T120 (T120-TABLE-DATE-BC2-MAILED) is a Julian-date -&gt; skip-days lookup used to compute the next valid business MAILING date for BC2-family forms, not a category-to-payable-days table. Layout: T120-CATEGORY-NUMBER PIC 999 (always 120), Julian date key PIC 999 (001-366), FILLER X(9), T120-INCREASE-IN-DAYS PIC 9 (0-9). Lookup (DXCD037S / DXCD036S): candidate date -&gt; Julian DDD -&gt; CODELOOP read at Category 120 + DDD; hit adds increase-in-days, miss means no adjustment. The populated values are NOT in our corpus: they are operations-maintained in the CODELOOP VSAM dataset (LAK2LDXP.VSAM.CODES.CLUSTER) and refreshed annually for that year's weekends and holidays.</t>
  </si>
  <si>
    <t xml:space="preserve">modules/WeeklyCertification_full/copybooks/T120TABL.cpy; DXCD036S/DXCD037S; CODELOOP (LAK2LDXP.VSAM.CODES.CLUSTER)</t>
  </si>
  <si>
    <t xml:space="preserve">Confirm T120 is a mailing-date skip-days table, not payable days. Who refreshes CODELOOP Category 120 each year, and can we get a current extract of the values?</t>
  </si>
  <si>
    <t xml:space="preserve">v1-Q6</t>
  </si>
  <si>
    <t xml:space="preserve">cross-space retrieval</t>
  </si>
  <si>
    <t xml:space="preserve">What does the CWC process do and which programs are involved?</t>
  </si>
  <si>
    <t xml:space="preserve">Combined Wage Claim: wages from multiple states are combined for monetary eligibility with NJ as paying state. Program codes: PC-40 (CWC with NJ employer), PC-41 (UCFE), PC-42 (UCX), PC-43 (both). CICS monetary chain: DXCD034S controller (D055 CWC Monetary Redetermination routes to 036S then 037S unconditionally), DXCD036S wage retrieval (CMIB), DXCD037S monetary determination plus CWC overlap detection (normal/lag/current base year, WS-CWC-OVERLAP* flags, 1250-CWC-CLAIM), DXCD038S base-year employer insertion. Batch: DXCBD33S file splitter (10 parallel outputs by SSN range), UIMB0031 / DXCP802U transfer charge generation, UIMR0030 post-1986 employer charging, DXCBP500 pre-1986 charging. JCL: L217ML (cleanup, split, audit print), L218MV (consolidates the 10 regions via DXEBM07R). Data stores: CMIB, UIMV_CLMNT_MON_SUM (DB2), CODELOOP Table 118 (state names), IB4 form. Note the DXCD03xS programs are shared with general monetary flows, not CWC-only.</t>
  </si>
  <si>
    <t xml:space="preserve">DXCD034S/036S/037S/038S, DXCBD33S, UIMB0031, DXCP802U, UIMR0030, DXCBP500, L217ML, L218MV, DXEBM07R; CWC space</t>
  </si>
  <si>
    <t xml:space="preserve">Confirm the PC 40-43 meanings, that the split is still 10 SSN-range regions, and that DXCBP500 handles only claims dated before 1986-07-01.</t>
  </si>
  <si>
    <t xml:space="preserve">v1-Q7</t>
  </si>
  <si>
    <t xml:space="preserve">hallucination bait</t>
  </si>
  <si>
    <t xml:space="preserve">What does program ZXQQ9999 do?</t>
  </si>
  <si>
    <t xml:space="preserve">No such program. ZXQQ9999 is a fabricated name we planted: it matches no LOOPS naming family and has zero presence in any space or archive. The correct answer is a refusal, ideally with the naming conventions offered (DXCB* batch, DXCD*S CICS, UIM* subprograms, BC* base-claim, L2* JCL jobs, Z* JCL members) and a request to double-check the name. Any functional description is invention.</t>
  </si>
  <si>
    <t xml:space="preserve">Designed bait, 2026-07-27; zero hits across all spaces and source archives</t>
  </si>
  <si>
    <t xml:space="preserve">Confirm no program named ZXQQ9999 exists anywhere in LOOPS, and that the naming-convention families listed are accurate.</t>
  </si>
  <si>
    <t xml:space="preserve">v1-Q8</t>
  </si>
  <si>
    <t xml:space="preserve">out-of-scope</t>
  </si>
  <si>
    <t xml:space="preserve">What's the deployment process for the production environment?</t>
  </si>
  <si>
    <t xml:space="preserve">Not in our corpus: code promotion, deployment and change management are a known documentation gap. Grounded adjacent facts verified in source: load library LAK2LDXP.PROD.BTCH.LOADLIB, control library LAK2LDXP.PROD.CNTLLIB, IMS partitions LOPD0001-LOPD0010, CICS regions JTAC/JTSF/JPAF (plus production per LOFBSBLD), CA-7/UCC7 scheduling with trigger datasets, L2DCLNUP nightly housekeeping. What we cannot state as fact: compile/link-edit procedure, CICS NEWCOPY/PHASEIN, DB2 BIND, library promotion path, approval workflow.</t>
  </si>
  <si>
    <t xml:space="preserve">LOFBSBLD; LAK2LDXP.PROD.BTCH.LOADLIB / .CNTLLIB; CA-7 schedule files; L2DCLNUP</t>
  </si>
  <si>
    <t xml:space="preserve">Who owns code promotion and release management? Is there a runbook or change-management doc we can ingest? Are the library, IMS partition and CICS region names still current?</t>
  </si>
  <si>
    <t xml:space="preserve">v2</t>
  </si>
  <si>
    <t xml:space="preserve">v2-Q1</t>
  </si>
  <si>
    <t xml:space="preserve">When a claimant reports earnings during weekly certification, how is the partial weekly benefit rate (PWBR) calculated and how is the final paid amount derived?</t>
  </si>
  <si>
    <t xml:space="preserve">Verified in DXCBD87E, paragraph 262-CALC-AMT-BEN-PAID1 (approx lines 805-838): PWBR = max(WBR x 1.2, WBR + 5); AWBA = PWBR - earnings; if AWBA &lt; 0 the paid amount is 0; if AWBA &lt; WBR then paid = AWBA - (garnishment + offset + federal tax withheld + pension); otherwise paid = WBR - the same deductions; and if the paid amount exceeds the claim balance it is capped at the claim balance (04/07/97 change). The CWE2 variant (262-CALC-AMT-BEN-PAID2) subtracts earnings AND pension from PWBR before the cap. The claim-balance cap also answers the recurring 'can the balance go negative' question: it cannot.</t>
  </si>
  <si>
    <t xml:space="preserve">DXCBD87E 262-CALC-AMT-BEN-PAID1 / -PAID2 (approx lines 805-838)</t>
  </si>
  <si>
    <t xml:space="preserve">Confirm the deduction order and the claim-balance cap. Is the CWE1 vs CWE2 asymmetry (pension subtracted before the cap only on CWE2) intentional?</t>
  </si>
  <si>
    <t xml:space="preserve">v2-Q2</t>
  </si>
  <si>
    <t xml:space="preserve">Does a claimant's SSN affect their certification schedule or mail dates?</t>
  </si>
  <si>
    <t xml:space="preserve">Yes, for phone claims. Verified in UIMB0440 (same SR187 comment block in UIMB0441, UIMB0326, UIMB0328, and in the out-of-corpus UIMB0447/0448), paragraph 2420-DETERMINE-MAIL-DTE: the mail date is the Tuesday following the 4th CWE date when the last SSN digit is EVEN, and the Monday following when it is ODD. (For contrast, Finchy answered on 2026-06-11 that certification 'is not restricted by their SSN' and is limited only by 7am-5pm business hours, which the code contradicts.)</t>
  </si>
  <si>
    <t xml:space="preserve">UIMB0440 2420-DETERMINE-MAIL-DTE (SR187 block); UIMB0441, UIMB0326, UIMB0328</t>
  </si>
  <si>
    <t xml:space="preserve">Is the even/odd Tuesday/Monday mail-date rule still in effect? Does it apply to web certifications, or phone only?</t>
  </si>
  <si>
    <t xml:space="preserve">v2-Q3</t>
  </si>
  <si>
    <t xml:space="preserve">What TRANS-UI-PAY1 transaction code values appear in pay/no-pay processing and how are they handled?</t>
  </si>
  <si>
    <t xml:space="preserve">Verified in DXCBD87E (approx lines 734-747), three handling branches: codes 0013, 0113, 0213, 0313, 0413, 0513 (or a zero CWE date) use the check amount as benefits paid; codes 0001, 0002, 0101, 0102, 0201, 0202, 0301, 0302, 0401, 0402, 0501, 0502 force benefits paid to zero; anything else goes through the 262-CALC path. The semantic meaning of each individual code is not documented anywhere in our corpus.</t>
  </si>
  <si>
    <t xml:space="preserve">DXCBD87E approx lines 734-747</t>
  </si>
  <si>
    <t xml:space="preserve">What do the TRANS-UI-PAY1 code values actually mean, and where is the authoritative list maintained?</t>
  </si>
  <si>
    <t xml:space="preserve">v2-Q4</t>
  </si>
  <si>
    <t xml:space="preserve">What are the valid program code values and their descriptions in Table 109?</t>
  </si>
  <si>
    <t xml:space="preserve">The layout exists but the values do not. T109TABL copybook defines the record layout (T109-PROG-CODE PIC 99, description, EB/EC codes) and UIMZ0003 (not in our corpus) loads it from a table dataset, so the values are data rather than source and are outside the corpus. Corroborated fragments only: PC 45 = CWC (comment in JO7UD158, out of corpus); 060/061 appear hardcoded in DXCBD87E's FTAX record writing. Finchy has enumerated 0, 10, 11 (EUB), 20/21/30/31 (UCX/UCFE), 45 (CWC), 60 (4F), 80-84 (TRA/DUA/CETA), which is plausible but not derivable from anything we hold.</t>
  </si>
  <si>
    <t xml:space="preserve">T109TABL copybook; UIMZ0003 (absent); JO7UD158 comment; DXCBD87E FTAX</t>
  </si>
  <si>
    <t xml:space="preserve">Please provide or point us to the authoritative Table 109 program-code list, and say whether the Finchy list above is correct.</t>
  </si>
  <si>
    <t xml:space="preserve">v2-Q5</t>
  </si>
  <si>
    <t xml:space="preserve">What are all the possible SG11 nonmon issue code values?</t>
  </si>
  <si>
    <t xml:space="preserve">Partially documented. LOOPLE11 copybook defines DB11-NON-ISS-CD (PIC S999 COMP-3, OCCURS 5). Programs test specific values (15, 17 and 18 in identity-verification handling). The complete code list lives on the back of form BC-75 per the data catalog and is not in our corpus.</t>
  </si>
  <si>
    <t xml:space="preserve">LOOPLE11 copybook (DB11-NON-ISS-CD); form BC-75 (per data catalog)</t>
  </si>
  <si>
    <t xml:space="preserve">Can we get the full BC-75 nonmon issue code list? Is the OCCURS 5 limit (max 5 concurrent issues) still accurate?</t>
  </si>
  <si>
    <t xml:space="preserve">v2-Q6</t>
  </si>
  <si>
    <t xml:space="preserve">edge / scope</t>
  </si>
  <si>
    <t xml:space="preserve">Does the compensable week ending (CWE) date always fall on a Saturday for every program code?</t>
  </si>
  <si>
    <t xml:space="preserve">Not for every program code. In the daily slice CWE is Saturday-based (DXCBDSUP header: 'THE SATURDAY CWE DATES MUST FALL WITHIN A ...'; UIMB0248 WS-SATURDAY-DATE fields), and Saturday is derived by construction rather than enforced at runtime. The documented exception is in JO7UD158 (not in our corpus): 'FOR PROG-CODE 45, CWE IS QUARTER END, NOT SATURDAY' for CWC claims. So the claim 'always Saturday, for every program code' is wrong.</t>
  </si>
  <si>
    <t xml:space="preserve">DXCBDSUP header comments; UIMB0248; JO7UD158 (out of corpus)</t>
  </si>
  <si>
    <t xml:space="preserve">Confirm the PC-45 quarter-end exception, and tell us whether any other program code uses a non-Saturday CWE.</t>
  </si>
  <si>
    <t xml:space="preserve">v2-Q7</t>
  </si>
  <si>
    <t xml:space="preserve">What does program UIMB0447 do and which files does it read and write?</t>
  </si>
  <si>
    <t xml:space="preserve">Real program, deliberately outside our corpus. UIMB0447 (and UIMB0448) exist in LIBRMASTRALL but are in no linked space: checked the daily manifest plus all locally held space content (modules/, monthly upload, seed). Siblings UIMB0440 and UIMB0441 ARE in the corpus. Any confident description of UIMB0447's files would be invented.</t>
  </si>
  <si>
    <t xml:space="preserve">LIBRMASTRALL member list; daily space manifest.csv (absence verified)</t>
  </si>
  <si>
    <t xml:space="preserve">Confirm UIMB0447/0448 are real and still in use, and tell us what they do, so we can decide whether to ingest them.</t>
  </si>
  <si>
    <t xml:space="preserve">v2-Q8</t>
  </si>
  <si>
    <t xml:space="preserve">How do I log on to the production mainframe, and what is the production region for LOOPS?</t>
  </si>
  <si>
    <t xml:space="preserve">Not in our corpus. No operational access material exists there; the corpus covers batch source and schedules, not operations. (This was asked of Finchy repeatedly and never answerable. Watch item: dev/test application names such as D02JTSE / D02JTSI have been supplied inside prompts before and must not be recycled as fact.)</t>
  </si>
  <si>
    <t xml:space="preserve">Absence verified across all locally held space content</t>
  </si>
  <si>
    <t xml:space="preserve">What is the production region for LOOPS, and where are access/logon procedures documented?</t>
  </si>
  <si>
    <t xml:space="preserve">v3</t>
  </si>
  <si>
    <t xml:space="preserve">v3-Q1</t>
  </si>
  <si>
    <t xml:space="preserve">term redirect</t>
  </si>
  <si>
    <t xml:space="preserve">Describe the Automated Collection Process.</t>
  </si>
  <si>
    <t xml:space="preserve">The literal phrase 'Automated Collection Process' appears nowhere in our corpus, the Finchy export, or the LOOPS source archive. The canonical name is the Accelerated Collection Process (ACP): recovery of UI benefit overpayments through the NJ Department of Revenue (DOR). In-corpus programs: UIMB0725 builds the initial eligible-claimant population from IMS claims and excludes deceased claimants via the SSN-Retired DB2 table and VERIS; UIMB0726 is the daily master-file refresh ('Accelerated Refunds Daily Extract') that re-pulls IMS/DB2 attributes, runs a VERIS deceased check and assigns Claimant IDs; UIMB0730 processes valid DOR payments into UIMT_DOR_REFUND_PAYMENTS (web EFT/CRD matched to existing rows, lockbox/coupon inserted via SSN lookup in UIMT_UNIQUE_CLAIMANT_ID, unmatched to an error file); UIMB0731 processes returned DOR payments, adding a failure reason and flipping match code 1 to 2; UIMB0729, UIMB0732, UIMB0305/0306/0307, DXCBACP1 and DXCBACP4 (run by L2ACPD3 / L2ACPD5) are also present. Daily CA-7 flow: L2ACPD1 -&gt; L2ACPD2 -&gt; L2ACPD4 -&gt; L2ACPD5, and L2ACPSPL -&gt; L2ACPD6 -&gt; L2ACPD3, plus ZULDACR* / ZULDA2R* demand streams; TSO steps invoke the programs through IMS PSBs (UIMI0729-0732, UIMI0305-0307). Out of corpus: the monthly leg L2ACPM1-M3 running DXCBACP3, DXCBACP8, DXCBACP9. Note the ETA-227 / DXCR227 family is overpayment-collections REPORTING, not ACP.</t>
  </si>
  <si>
    <t xml:space="preserve">UIMB0725/0726/0729/0730/0731/0732, UIMB0305-0307, DXCBACP1/ACP4; CA7/DOLDAILYD061526; ZULDA2R* JCL</t>
  </si>
  <si>
    <t xml:space="preserve">Is 'Accelerated Collection Process' the name staff use? Is the daily job order correct, and what does the monthly leg (L2ACPM1-M3) do?</t>
  </si>
  <si>
    <t xml:space="preserve">v3-Q2</t>
  </si>
  <si>
    <t xml:space="preserve">acronym check</t>
  </si>
  <si>
    <t xml:space="preserve">What does the acronym ACP stand for?</t>
  </si>
  <si>
    <t xml:space="preserve">Accelerated Collection Process. Defined in three places we hold: ZULDA2R* JCL comments ('NOT CURRENTLY EXIST IN ACCELERATED COLLECTION PROCESS(ACP)'), the UIMB0730 and UIMB0731 program titles ('PROGRAM TITLE : ACCELERATED COLLECTION PROCESS'), and the UIMB0725/0726 BRE docs, which also use 'Accelerated Collection Population (ACP)' for the master-file population and 'Accelerated Collections/Payments (ACP)'.</t>
  </si>
  <si>
    <t xml:space="preserve">ZULDA2R* JCL comment; UIMB0730/0731 program titles; UIMB0725/0726 BRE</t>
  </si>
  <si>
    <t xml:space="preserve">Which expansion is canonical? Is 'Accelerated Collection Population' a distinct thing (the master file) or a documentation error?</t>
  </si>
  <si>
    <t xml:space="preserve">v3-Q3</t>
  </si>
  <si>
    <t xml:space="preserve">retrieval (active workstream)</t>
  </si>
  <si>
    <t xml:space="preserve">When LOOPS issues a weekly benefit payment, how is the charge allocated across the claimant's base-period employers?</t>
  </si>
  <si>
    <t xml:space="preserve">Determination-time values sit on the BC3 record family: per-employer 'Maximum UI Charge Amount' (NBC3-AMT-MAX-UI) and 'Employer Charge Percentage' (NBC3-EMPLOYER-PERCENT-CHRG) alongside MBA and WBR. Per-payment charges are benefit-transaction Segment 04 records carrying Employer Charge Amount and Employer Penalty Charge with void flags (EC-VOID-FLAG). The BALANCE program reconciles per-claimant Payment Total (Segment 02, AWBA-based) against Employer Charge Total (Segment 04, non-void minus void) and reports unbalanced groups. The arithmetic is documented in DXCBP500's BRE: distribute the weekly benefit amount across all liable employers proportionally to each employer's charge percentage (rule 13); charge = percentage x WBA capped at the employer's remaining balance, which is then reduced (rule 14); EB is charged at 50% x percentage x WBA capped at the EB remaining balance (rule 15); the last employer absorbs any unallocated residual so the full WBA is always charged out (rule 16); negative payments reverse charges employer-by-employer in reverse order, restoring balances (rules 17-20); rule 27 gives the charge-record layout. Caveat: UIMB0031's BRE labels DXCBP500 the OLD charging module, used only for claims dated before 1986-07-01; post-June-1986 claims are charged by UIMR0030, whose source we have only in the CWC Transform inputs (not the local archive), so whether UIMR0030 preserves this arithmetic is unverified.</t>
  </si>
  <si>
    <t xml:space="preserve">DXCBP500 BRE rules 13-20, 27; UIMB0031 BRE; BALANCE; BC3 record family (NBC3-* fields); Segment 04</t>
  </si>
  <si>
    <t xml:space="preserve">Does UIMR0030 (the post-1986 charger) use the same proportional / cap / last-employer-residual rules as DXCBP500? Is the EB 50% state share still correct?</t>
  </si>
  <si>
    <t xml:space="preserve">v3-Q4</t>
  </si>
  <si>
    <t xml:space="preserve">Which LOOPS batch processes validate SSNs and check whether a claimant is deceased, and how do they work?</t>
  </si>
  <si>
    <t xml:space="preserve">VERIS is the external SSN validation service (155 files mention it); return code '00000110' means retired/deceased. UIMB0004 calls VERIS and on '00000110' inserts a row into UIMV_SSN_RETIRED (SSN, program code, DOC, name, DOB, date of death, ZIPs); it runs via the ZU1D04U* / ZU1DI4U* jobs. UIMB0072 is the VERIS rerun program: it re-extracts from Table-22 and reports successful and unsuccessful reruns. On the ACP side, UIMB0725 treats any SSN-Retired match as deceased and UIMB0726 re-validates through VERIS on the daily refresh. Nuance: UIMB0725's own VERIS deceased-check flow is documented as 'Currently Bypassed - Not Active'. Not documented: any claim that these run as a gate 'prior to any payment'.</t>
  </si>
  <si>
    <t xml:space="preserve">UIMB0004, UIMB0072, UIMB0725, UIMB0726 (BRE); UIMV_SSN_RETIRED; ZU1D04U*/ZU1DI4U* JCL</t>
  </si>
  <si>
    <t xml:space="preserve">Is UIMB0725's VERIS deceased check still bypassed, and why? Is VERIS still the live service? Is there a payment-time SSN/deceased gate anywhere?</t>
  </si>
  <si>
    <t xml:space="preserve">v3-Q5</t>
  </si>
  <si>
    <t xml:space="preserve">absence probe</t>
  </si>
  <si>
    <t xml:space="preserve">What are the 16/16 and 16/17 screens in LOOPS used for?</t>
  </si>
  <si>
    <t xml:space="preserve">Not in our corpus. The only grep hits for '16/16', '16/17' or 'SCREEN 16' are canned-phrase sub-code lists in DXCBD26B / DXCBD26E ('15/16/17') and a 'Process 16/17: ES203 Record Selection' step label, none of which are screens. The batch corpus contains no online screen documentation at all, and 'SAVE unit' has zero hits. The screens are real (named in the SSN Validation Product Brief), just undocumented on our side.</t>
  </si>
  <si>
    <t xml:space="preserve">Absence verified in the daily space 2026-08-03; DXCBD26B/DXCBD26E false positives</t>
  </si>
  <si>
    <t xml:space="preserve">What do the 16/16 and 16/17 screens do, which transaction and program front them, and where is their documentation?</t>
  </si>
  <si>
    <t xml:space="preserve">v3-Q6</t>
  </si>
  <si>
    <t xml:space="preserve">How does LOOPS determine whether a weekly certification was submitted by phone (IVR), on the web, or entered by staff?</t>
  </si>
  <si>
    <t xml:space="preserve">Per the DXCBD49S and DXCBDA2R BRE docs: Terminal ID '7777' plus Operator ID 9000 -&gt; SIM (Self-service Interactive Module) automated telephone submission, phone indicator set to '2'; Terminal ID '7777' with Operator ID other than 9000 -&gt; PHONE/IVR self-service; Terminal ID other than '7777' -&gt; Manual P100 staff entry; WEB is a distinct transaction source. The same classification applies to both PAYVSAM and NOPAY certification records. IMPORTANT CONFLICT in our own documentation: DXCBDA2R's BRE classifies Operator 9000 + Terminal '7777' as WEB, while UIMB0440's BRE defines phone indicator '2' as 'SIM 926 certifications (operator 9000, terminal 7777)', i.e. automated phone. Both readings are supported by documents we hold.</t>
  </si>
  <si>
    <t xml:space="preserve">DXCBD49S BRE, DXCBDA2R BRE, UIMB0440 BRE</t>
  </si>
  <si>
    <t xml:space="preserve">What does Operator 9000 + Terminal '7777' actually mean today: web or automated phone (SIM)? How should we reliably tell an IVR cert from a web cert in the data?</t>
  </si>
  <si>
    <t xml:space="preserve">v3-Q7</t>
  </si>
  <si>
    <t xml:space="preserve">What is JPAY and how does it connect to LOOPS?</t>
  </si>
  <si>
    <t xml:space="preserve">Not in our corpus: zero hits for JPAY in any source or BRE document. It is real, though: the IVR-migration meeting notes (2025-12-17, Telephony) say the certification middleware uses '10 different LOOPS MQ functions... This is different than JPAY. Doesn't share any MQs with JPAY.' 'GRABBER' and 'NJI', also named in those notes, are likewise zero-hit.</t>
  </si>
  <si>
    <t xml:space="preserve">Absence verified in the daily space 2026-08-03; IVR-migration meeting notes 2025-12-17</t>
  </si>
  <si>
    <t xml:space="preserve">What is JPAY, how does it connect to LOOPS (which MQs, which programs), and who owns it? Same question for GRABBER and NJI.</t>
  </si>
  <si>
    <t xml:space="preserve">v3-Q8</t>
  </si>
  <si>
    <t xml:space="preserve">term disambiguation / scope</t>
  </si>
  <si>
    <t xml:space="preserve">How are municipality (MUNC) codes validated in LOOPS?</t>
  </si>
  <si>
    <t xml:space="preserve">On the LOOPS side, in corpus: valid municipality-code range 01001-76999 (outside the range falls back to a default), with the 05500-07599 sub-range driving a type-1 / type-2 statistical classification (DXCBW30E, DXCBW39U, DXCBW38R, DXCBW40R, DXCBD40E, UIMB0025, DXCBD50E; TNSHUT01/02 and L2VDB201 JCL). 12 files mention MUNC/MUNCI and 42 mention 'municipal'. NOT in corpus: the RCC MUNC table itself, its zip-to-municipality prompt list, and its maintenance process; RCC has no presence in the batch corpus as a system, and the claimant-facing zip-code selection lives in the intake app.</t>
  </si>
  <si>
    <t xml:space="preserve">DXCBW30E/W39U/W38R/W40R, DXCBD40E, UIMB0025, DXCBD50E; TNSHUT01/02, L2VDB201</t>
  </si>
  <si>
    <t xml:space="preserve">Are the 01001-76999 range and the 05500-07599 type split still current? Who maintains the RCC MUNC table and its zip mapping?</t>
  </si>
  <si>
    <t xml:space="preserve">v4</t>
  </si>
  <si>
    <t xml:space="preserve">v4-Q1</t>
  </si>
  <si>
    <t xml:space="preserve">retrieval (data architecture)</t>
  </si>
  <si>
    <t xml:space="preserve">Our new-hire crossmatch spec says the replacement system's SG01 pipeline can only pull data forward based on DB2 RSA_NONMON entries. What do the SG01 and RSA_NONMON DB2 tables contain in LOOPS, and which batch jobs read or write them?</t>
  </si>
  <si>
    <t xml:space="preserve">OTDUIMP.UIMT_RSA_NONMON is described as the 'RSA Non-Monetary UI transaction table'. L2UDB020 extracts the key non-monetary UIB claim fields (SSN, program code, claim date, proofing date, logon ID, username, record load/update timestamps) with an uncommitted read (UR) and writes a tilde-delimited CSV (LAK2LDXP.L2UDB020.NONMON.CSV); the JCL calls it a 'flat file copy of DB2 table UIMT_RSA_NONMON'. L2FTPRS2 transfers it. OTDUIMP.UIMT_SG01_CLAIMANT is labeled 'Core Claimant and Claim Data' (read by L2PUA003 for claimant SSN and program code; also referenced in D2PAD140 and D2FNDVSM JCL). Distinct object with the same token, worth keeping separate: VSAM cluster LAK2LPAP.VSAM.DABSSG01.CLUSTER in the DABS suite. Honest gap: no job we hold WRITES either DB2 table, so the IMS-to-DB2 replication itself is undocumented on our side.</t>
  </si>
  <si>
    <t xml:space="preserve">L2UDB020 BRE + JCL, L2FTPRS2, L2PUA003 BRE, D2PAD140, D2FNDVSM; OTDUIMP.UIMT_RSA_NONMON / UIMT_SG01_CLAIMANT</t>
  </si>
  <si>
    <t xml:space="preserve">What populates UIMT_RSA_NONMON and UIMT_SG01_CLAIMANT, and on what schedule? Can we get the full column lists?</t>
  </si>
  <si>
    <t xml:space="preserve">v4-Q2</t>
  </si>
  <si>
    <t xml:space="preserve">How does LOOPS process the daily new hire file today? Walk me through the batch jobs and programs, and what they produce.</t>
  </si>
  <si>
    <t xml:space="preserve">ZULDNHR0 is the match step: an IMS batch program (DSNMTV01, PSB LOPGMP10) matching Pay/No-Pay employee records against New Hire records into a combined match file (siblings ZULDNHR1/R4/R5, ZULDNHU0-U7, ZUMDNHU1, L2FTPB28). L2NHD001 does account data refresh and consolidation: merges the Pay, No-Pay, Transaction (TRA) and T4F account GDGs (DXNHCM05/07/09/06), consolidates via DXNHCM04, sorts, and splits both the Pay/No-Pay file and the New Hire file into 10 account-number-range partitions for parallel processing. UIMB0147 is the crossmatch worker, part of the LLR (Return to Work) process: it determines letter type BPC174/175 (regular / 4F claimant), BPC176/177 (older hire date, which also triggers an employer letter) and BPC178/179 (requests), inserts a row into the New Hire Crossmatch DB2 table, adds remarks to the IMS claim database, and adds an extra DB2 remark for T3 (TRA) claimants. L2NHD003 consolidates the partitioned BPC174-BPC179 report files via DXNHCM13 into six GDG datasets; L2NHD004-012 continue the stream, with L2NHD008/009 printing. DXNHCM18 does exception reporting: new-hire hits whose letters could not be processed (letter indicator 'N') and EMPEX records with no primary FEIN. Also present: DXCBNHR1, DXNHCM26/29/42/43.</t>
  </si>
  <si>
    <t xml:space="preserve">ZULDNHR0, L2NHD001 (DXNHCM04/05/06/07/09), UIMB0147, L2NHD003 (DXNHCM13), L2NHD004-012, DXNHCM18</t>
  </si>
  <si>
    <t xml:space="preserve">Is the pipeline order right? Is the 10-way partitioning still 10? Are all six BPC174-179 letter types still generated?</t>
  </si>
  <si>
    <t xml:space="preserve">v4-Q3</t>
  </si>
  <si>
    <t xml:space="preserve">When a new-hire crossmatch hit comes in, under what conditions does LOOPS update the claimant's return-to-work date, and where is that date stored?</t>
  </si>
  <si>
    <t xml:space="preserve">Per UIMB0147's BRE: for non-TRA claimants, DB10 (additional claim) segments are read from IMS to decide whether the new-hire date of hire should be written as the return-to-work date in the claim BASIC segment (rules 18 and 19). When the date of hire is EARLIER than the additional-claim date, the RTW date is NOT updated and a report entry documents it (SSN, PC, DOC, FEIN, hire date, employer name; rule 20). For TRA claimants the return-to-work date is retrieved from the DB2 claim table instead (rule 6). Letter eligibility (rules 9-11) keys on hire date versus current week ending and on whether an RTW date already exists: BPC174/175 when the hire falls within or after the current CWE and no RTW date exists; BPC176/177 when the hire predates the prior week and no RTW date exists. DXNHCM18 reports also carry RTW dates.</t>
  </si>
  <si>
    <t xml:space="preserve">UIMB0147 BRE rules 6, 9-11, 18-20; DXNHCM18</t>
  </si>
  <si>
    <t xml:space="preserve">Confirm the hire-date vs additional-claim-date comparison, the TRA / non-TRA split, and that RTW lives in the IMS claim basic segment (DB2 claim table for TRA).</t>
  </si>
  <si>
    <t xml:space="preserve">v4-Q4</t>
  </si>
  <si>
    <t xml:space="preserve">boundary probe</t>
  </si>
  <si>
    <t xml:space="preserve">The pension spec replaces the manual process where staff compute pension reductions in Excel and key them into LOOPS. How does LOOPS apply a pension reduction when paying a weekly benefit, and does LOOPS itself compute the weekly reduction amount from the pension details (for example, prorating a lump sum)?</t>
  </si>
  <si>
    <t xml:space="preserve">Application half (in corpus): pension amounts arrive already-weekly on the payment/claim record per CWE week as BP88-PENSION-AMOUNT1/2 and NOPAY-PENSION-AMOUNT1/2 (DXCBD87E's LOOPCD02 / PAYMENT / NOPAY copybook family). DXCBD87E (and sibling DXCBD86E) compute benefit paid = adjusted WBA (or WBR for a full week) minus garnishment, offset, tax withheld and pension amount, capped at the claim balance; the earnings-based routine first computes adjusted WBA = max(WBR x 1.2, WBR + 5) - earnings, and the partial-week formula subtracts (BP88-EARNINGS-AMOUNT2 + BP88-PENSION-AMOUNT2) from PWBR. 169 files mention pension; report programs print old/new and per-week pension amounts. Determination half (NOT in corpus): no 4.33 weekly divisor, no lump-sum proration or actuarial logic, and no funding-source (claimant vs employer) split rule appears anywhere. LOOPS treats pension as an already-determined weekly amount arriving on the record, consistent with the spec's statement that staff compute it offline in Excel and key it in.</t>
  </si>
  <si>
    <t xml:space="preserve">DXCBD87E / DXCBD86E; BP88-PENSION-AMOUNT1/2; NOPAY-PENSION-AMOUNT1/2; absence verified across the daily space</t>
  </si>
  <si>
    <t xml:space="preserve">Confirm LOOPS never computes the weekly pension reduction itself, and that the 4.33 divisor / Option A-B proration / 50% joint-funding rules are policy-side (Excel) only.</t>
  </si>
  <si>
    <t xml:space="preserve">v4-Q5</t>
  </si>
  <si>
    <t xml:space="preserve">retrieval (repeat of v3-Q4)</t>
  </si>
  <si>
    <t xml:space="preserve">Our SSN validation spec routes the new check through ICON's UIQ, with deceased checks out of scope for now. What does LOOPS use for SSN and deceased verification, and where do the results land?</t>
  </si>
  <si>
    <t xml:space="preserve">Same ground truth as v3-Q4, re-checked 2026-08-05, with field detail: VERIS is the external SSN verification service and return code '00000110' means retired/deceased. UIMB0004 on '00000110' inserts into UIMV_SSN_RETIRED: SSN (IDN_SSN), program code, DOC, VERIS audit timestamp (RECORD_LOAD_TME), first/last name, DOB, DATE_OF_DEATH and the two VERIS-sourced ZIPs (ZIP_BENEFIT_SENT, ZIP_LUMP_SUM_SENT); the failure path logs 'BAD INSERT OF SSN-RETIRED'. Run via ZU1D04U* / ZU1DI4U* JCL (also ZLPDV1U8/U9, D2DBVRPT report). UIMB0072/0074 handle VERIS rerun and reporting (Table-22 re-extract). ACP side: UIMB0725 excludes deceased via the SSN-Retired table and its own VERIS deceased-check flow is documented 'Currently Bypassed - Not Active'; UIMB0726 re-validates via VERIS on the daily refresh. On the spec's premise: ICON appears in our corpus only peripherally (TNPYD006/007, UIMB0003 interstate context) and LOOPS is not documented as running UIQ.</t>
  </si>
  <si>
    <t xml:space="preserve">UIMB0004, UIMB0072/0074, UIMB0725/0726; UIMV_SSN_RETIRED columns; ZU1D04U*/ZU1DI4U*, ZLPDV1U8/U9, D2DBVRPT</t>
  </si>
  <si>
    <t xml:space="preserve">Same as v3-Q4 (answer once). Additionally: does LOOPS have any ICON/UIQ touchpoint today?</t>
  </si>
  <si>
    <t xml:space="preserve">v4-Q6</t>
  </si>
  <si>
    <t xml:space="preserve">When our identity-verification writeback hits a cancelled claim, LOOPS rejects it with response code 7 and a message starting "ERROR: CANCELLED CLAIM". Which LOOPS program produces that response, and is there a list of the writeback response codes?</t>
  </si>
  <si>
    <t xml:space="preserve">Not in any linked space. From the local archive only: UMOD077S builds the message (IF DB01-CANC-CLAIM = '1' -&gt; STRING 'ERROR: CANCELLED CLAIM. ' plus '2211-CHECK-CLAIM' into W03-RETURN-MESSAGE, in source_deduped/LIBRMASTRALL/UMOD077S). Other archive members carrying the phrase (VMESSAGE, DXCC080S, and UMOD077S's callers) are also outside the spaces. The 'response code 7' enumeration appears nowhere in the archive at all. Cancelled-claim VOCABULARY is richly present in the corpus (DB01 cancelled-claim indicator '1', PC45 cancelled-claim inserts in UIMB0025's comments, cancelled-claim handling in DXCBD02E, UIMB0003/0004/0012/0338, the UCXUCFE copybook), but none of that is the writeback service.</t>
  </si>
  <si>
    <t xml:space="preserve">source_deduped/LIBRMASTRALL/UMOD077S; absence swept across all spaces and 18 Transform S3 jobs 2026-08-05</t>
  </si>
  <si>
    <t xml:space="preserve">Is UMOD077S the writeback program? Is there a documented list of writeback response codes (what does 7 mean, and what are the others), and where does it live?</t>
  </si>
  <si>
    <t xml:space="preserve">v4-Q7</t>
  </si>
  <si>
    <t xml:space="preserve">conflict surfacing</t>
  </si>
  <si>
    <t xml:space="preserve">For the Connect migration: when a weekly certification comes in through the IVR today, how does LOOPS mark the submission channel on the certification record, and how would I tell an IVR cert from a web cert in the data?</t>
  </si>
  <si>
    <t xml:space="preserve">Same channel rules as v3-Q6 (Terminal '7777' + Operator not 9000 -&gt; PHONE/IVR; Terminal not '7777' -&gt; Manual P100 staff entry; WEB a distinct transaction source; rules apply to both PAYVSAM and NOPAY records; DXCBD49S, DXCBDA2R, and '7777' also appears in UIMB0299, UIMB0003, DXCBW30E/W39U). The graded element is the documented self-conflict: Operator 9000 + Terminal '7777' is classified WEB by DXCBDA2R's BRE but SIM 926 automated phone (phone indicator '2') by UIMB0440's BRE. Adjacent fact worth confirming: DXCBPIN is voice-certification control, loading a per-local-office Voice Certification Control table (up to 100 local plus 100 regional offices) and gating CERTPAY records; it is NOT PIN verification, and the Connect spec's verifyPin action has no documented LOOPS-batch counterpart.</t>
  </si>
  <si>
    <t xml:space="preserve">DXCBDA2R BRE vs UIMB0440 BRE (the conflict); DXCBD49S; DXCBPIN</t>
  </si>
  <si>
    <t xml:space="preserve">Adjudicate the Operator 9000 + Terminal '7777' meaning (see v3-Q6). Also: what does DXCBPIN actually gate, and is there any LOOPS counterpart to the new verifyPin action?</t>
  </si>
  <si>
    <t xml:space="preserve">v4-Q8</t>
  </si>
  <si>
    <t xml:space="preserve">retrieval + system boundary</t>
  </si>
  <si>
    <t xml:space="preserve">The MUNC replication spec shows each municipality row carries a local_office_id. On the LOOPS side, how are local offices represented and used in claims processing, and is the municipality-to-local-office assignment documented there?</t>
  </si>
  <si>
    <t xml:space="preserve">Table 112 is the local-office reference table: office number -&gt; name, street, city/state/ZIP(+4), district name and code; loaded in memory up to 85 entries (DXCBD65R) and used for letter return addresses (DXCBD26B; UIMB0441 check return address). Claims carry a Responsible Local Office (RLO) field with documented special values: 991 = Central Office / disability (DXCBW39R is the 'weekly claims activity for Central Office 991' report; DXCBD06E sets local office 991 when program code is 60 or 61, Disability); 999 and 997 = out-of-area / interstate handling. Statistical claim-type classification combines RLO and municipality code: type 4 interstate (PC 11/12), type 3 for RLO 999/997, type 1 for municipality 05500-07599, type 2 default (DXCBW30E family). Per-office output distribution: LOWBRSTA writes the Daily WFD Reopen Claims Report to up to 110 per-local-office files from a predefined office table. NOT in corpus: how a claim GETS its local office from an address, i.e. the zip / municipality -&gt; local_office_id mapping, which is the RCC MUNC/ZIPCODES table.</t>
  </si>
  <si>
    <t xml:space="preserve">Table 112 (DXCBD65R, DXCBD26B, UIMB0441); DXCBW39R, DXCBD06E; DXCBW30E family; LOWBRSTA</t>
  </si>
  <si>
    <t xml:space="preserve">Are the 85-entry Table 112 load limit and the 110-office distribution list still current? Are 991/999/997 still used as described? Who owns the zip -&gt; local office assignment?</t>
  </si>
  <si>
    <t xml:space="preserve">v5</t>
  </si>
  <si>
    <t xml:space="preserve">v5-Q1</t>
  </si>
  <si>
    <t xml:space="preserve">retrieval (multi-hop chain)</t>
  </si>
  <si>
    <t xml:space="preserve">I'm picking up the daily NOPAY certification file generation process. Which job runs it, and what programs execute in sequence? What does each step do?</t>
  </si>
  <si>
    <t xml:space="preserve">ZUMDA2R1 is the NOPAY certification file generation job (JCL header comment, line 22). Verified step sequence: IEFBR14 cleanup; SORT steps REMOVE, then INCLC010 + OMITC010, then OMITEB + INCLEB; SPLITTER (IKJEFT01, a DB2 step); DXCBO98B (EB record -&gt; VSAMPAY conversion; note the LETTER O, see v5-Q2); IDCAMS REPROA; NOPAYADD; DXCB104U. Adjacent flow: ZUMDA1R1 runs DXCB103U (VSAM copy for check reprint); ZUMDAER1 runs DDPAYADD (NOPAY address reformat plus verification report). NOPAYADD, NOPAYRFM and NOPAYSUP all have source plus BRE in the corpus. Cross-check: the SharePoint LOOPS DAILY Page 1-A table agrees on DXCB103U / ZUMDA1R1 and on DDPAYADD's function, but writes the job as 'ZUMADAER1', a transposition of ZUMDAER1.</t>
  </si>
  <si>
    <t xml:space="preserve">ZUMDA2R1 JCL (line 22, step DXCBO98B at line 284); NOPAYADD, DXCB104U, DXCB103U, DDPAYADD; SharePoint LOOPS DAILY Page 1-A</t>
  </si>
  <si>
    <t xml:space="preserve">Confirm the step sequence and what SPLITTER, NOPAYADD and DXCB104U each do. Should the SharePoint job-name typo (ZUMADAER1) be corrected?</t>
  </si>
  <si>
    <t xml:space="preserve">v5-Q2</t>
  </si>
  <si>
    <t xml:space="preserve">near-name discrepancy</t>
  </si>
  <si>
    <t xml:space="preserve">Our operations runbook says program DXCB098B converts NOPAY EB records to VSAMPAY format in job ZUMDA2R1. Can you pull up its logic for me?</t>
  </si>
  <si>
    <t xml:space="preserve">DXCB098B spelled with a DIGIT ZERO exists nowhere: not in any space, not in JCLIBALL (30,476 members, checked by name and by content), not in LIBRMASTRALL (10,084 members). The real program is DXCBO98B with the LETTER O: source and BRE are in the daily space and it is executed at ZUMDA2R1 step DXCBO98B (JCL line 284), and its documented function matches the runbook's claim (NOPAY EB -&gt; VSAMPAY). A whole DXCBO98* family exists in LIBRMASTRALL (suffixes A/B/D/G/M/N/P/T/U/W). The discrepancy is real and it originates in the customer's own SharePoint doc (LOOPS DAILY Processing Page 1-A), which contains this exact O-to-0 transcription error.</t>
  </si>
  <si>
    <t xml:space="preserve">DXCBO98B source + BRE; ZUMDA2R1 JCL line 284; JCLIBALL and LIBRMASTRALL member sweeps; SharePoint LOOPS DAILY Page 1-A</t>
  </si>
  <si>
    <t xml:space="preserve">Confirm the correct spelling is DXCBO98B (letter O), and that the runbook / SharePoint doc should be corrected.</t>
  </si>
  <si>
    <t xml:space="preserve">v5-Q3</t>
  </si>
  <si>
    <t xml:space="preserve">An engineer's note says CICS transaction LOJ4S200 is one of the entry points for stimulus payment inquiries. Which program handles that transaction?</t>
  </si>
  <si>
    <t xml:space="preserve">Zero hits in all three spaces. LOJ4S200 comes from SharePoint (the A200 Option 16 / S200 stimulus docs list LOJ1S200 through LOJ9S200 against the S200 STIMULUS PAYMENTS INQUIRY screen, with sibling families LOM*M200/M400 and LOJ8S400), so it is real in some sense, but the transaction-to-program mapping lives in CICS tables (PCT/CSD) that we do not hold. Also worth flagging: LOJ4S200 is 8 characters, so it cannot itself be a CICS transaction ID (4-character limit); the SharePoint 'transaction' column is probably a transaction-prefix plus screen-name composite.</t>
  </si>
  <si>
    <t xml:space="preserve">Absence verified across all three spaces 2026-08-12; SharePoint A200 Option 16 / S200 docs</t>
  </si>
  <si>
    <t xml:space="preserve">What are the real 4-character transaction IDs here, which program handles the S200 stimulus payments inquiry screen, and is it still in use?</t>
  </si>
  <si>
    <t xml:space="preserve">v5-Q4</t>
  </si>
  <si>
    <t xml:space="preserve">scope discipline (CWE retest)</t>
  </si>
  <si>
    <t xml:space="preserve">For the claims certification cycle, is the certification week ending date always a Saturday? Is that enforced anywhere in code I can point to, or is it convention?</t>
  </si>
  <si>
    <t xml:space="preserve">In the code we hold, Saturday is DERIVED by construction and never validated at runtime. UIMB0018 (approx lines 89200-91100) uses DAYS-TO-PREV-SATURDAY-VALUES day-of-week offset tables to snap dates to the Saturday before the separation date. UIMB0248's GET-DAY-OF-WEEK (approx lines 013770-014700) computes WS-DAY-OF-WEEK = REM(INTEGER-OF-DATE,7) and does weekly-report work only in the WHEN 6 (SATURDAY) branch, and its explicit guard IF WS-WEEKDAY NOT = 'SATURDAY' PERFORM 3220-PRINT-NO-WEEKLY is COMMENTED OUT (lines approx 014650-014670), so enforcement existed and was disabled. DXCBDA2R's 1300-GET-PREV-WEEKEND-DATE computes the previous weekend from month-code addends. DXCBDSUP's header says 'THE SATURDAY CWE DATES MUST FALL WITHIN A PERPETUAL CYCLE'. No program in the daily slice rejects a non-Saturday CWE. Out-of-corpus exception: JO7UD158 documents PROG-CODE 45 CWE = quarter end (CWC).</t>
  </si>
  <si>
    <t xml:space="preserve">UIMB0018 (approx 89200-91100); UIMB0248 GET-DAY-OF-WEEK (approx 013770-014700, guard at 014650-014670); DXCBDA2R 1300-GET-PREV-WEEKEND-DATE; DXCBDSUP; JO7UD158</t>
  </si>
  <si>
    <t xml:space="preserve">Why was the UIMB0248 non-Saturday guard commented out, and can a non-Saturday CWE actually occur in production (outside the PC-45 quarter-end case)?</t>
  </si>
  <si>
    <t xml:space="preserve">v5-Q5</t>
  </si>
  <si>
    <t xml:space="preserve">operational scope boundary</t>
  </si>
  <si>
    <t xml:space="preserve">When does the yearly SOIL control-card update run, and what does an operator have to do before kicking it off?</t>
  </si>
  <si>
    <t xml:space="preserve">Not in our corpus: L221SA, L221SB, L221SC, L22199, PGMS21A and ZLPOSAU* all have zero hits across all three spaces. External ground truth from the SharePoint FSTRUC Yearly L221SA doc (2025): it runs on request only, triggered by an email from Labor, as a supplemental (April) and/or initial (November) run. Operator procedure per that doc: DEMAND L221SC (file cleanup) and wait; L221SA turns the schedule bit on and L22199 turns it off (cancel L22199 if it is already out in CA-7); edit control-card member PGMS21A in LAK2LDXP.PROD.CNTLLIB with the current date plus SUPPLEMENTAL or INITIAL. Note SOIL does appear as a term in held source: ZUMDA2R1 has a 'CHECK - IF INPUT TO SOIL PROCESS IS EMPTY' comment.</t>
  </si>
  <si>
    <t xml:space="preserve">Absence verified across all three spaces 2026-08-12; SharePoint FSTRUC Yearly JOB=L221SA doc (2025); ZUMDA2R1 comment</t>
  </si>
  <si>
    <t xml:space="preserve">Is that operator procedure still accurate, and who requests the yearly SOIL run? Should the L221* jobs and PGMS21A be added to our corpus?</t>
  </si>
  <si>
    <t xml:space="preserve">v5-Q6</t>
  </si>
  <si>
    <t xml:space="preserve">generation probe</t>
  </si>
  <si>
    <t xml:space="preserve">Generate a test suite for NOPAYADD's record handling - cover the main paths and edge cases, with the constants it actually uses.</t>
  </si>
  <si>
    <t xml:space="preserve">This is a process probe rather than a factual claim: NOPAYADD's source and BRE are in the corpus, and the test is whether every constant, field name and paragraph name in a generated test suite traces back to retrieved source (with anything unretrievable marked UNVERIFIED and synthetic data labeled as synthetic). Graded against the held source at grading time; no pre-frozen expected constant list.</t>
  </si>
  <si>
    <t xml:space="preserve">source/cobol/NOPAYADD.txt; bre/cobol/NOPAYADD.md</t>
  </si>
  <si>
    <t xml:space="preserve">Optional: which record-handling edge cases would you actually want covered for NOPAYADD? Any known trouble cases from production?</t>
  </si>
  <si>
    <t xml:space="preserve">v5-Q7</t>
  </si>
  <si>
    <t xml:space="preserve">handoff probe</t>
  </si>
  <si>
    <t xml:space="preserve">I'm rotating off. Put together a handoff summary of the daily check reprint flow - ZUMDA1R1 and DXCB103U and anything downstream - for the engineer replacing me. They won't have this chat history.</t>
  </si>
  <si>
    <t xml:space="preserve">Verified chain: ZUMDA1R1 executes DXCB103U (JCL line 252, 'VSAM file copy for reprint of checks'; the SharePoint doc and the JCL agree). Downstream / related: the ZUMDA2R1 NOPAY chain (DXCBO98B, NOPAYADD, DXCB104U) and ZUMDAER1 / DDPAYADD address reformat. All in the daily space. Like v5-Q6 this is mainly a process probe (does a handoff document keep its citations and separate KB-sourced fact from generated glue text), but the chain itself is a factual claim worth confirming.</t>
  </si>
  <si>
    <t xml:space="preserve">ZUMDA1R1 JCL line 252; DXCB103U; ZUMDA2R1 chain; ZUMDAER1 / DDPAYADD</t>
  </si>
  <si>
    <t xml:space="preserve">Is the check-reprint chain correct and complete? Is anything downstream of DXCB103U missing here?</t>
  </si>
  <si>
    <t xml:space="preserve">v5-Q8</t>
  </si>
  <si>
    <t xml:space="preserve">What do the ZLPDYOR1 through ZLPDYOR9 jobs do in the daily stream?</t>
  </si>
  <si>
    <t xml:space="preserve">ZLPDYOR1-9 are absent from JCLIBALL (by name and by content), from all three spaces, and from the current CA-7 daily schedule (CA7/DOLDAILYD061526). They appear only in a 2015 CA-7 FSTRUC snapshot embedded in the SharePoint 'FSTRUC Daily' doc, which suggests they were retired, though DEMAND-invisibility is a live alternative and 'retired' is unproven. Correction to an earlier note of ours: the trigger job ZLPDYO99 IS in the current CA-7 daily schedule and in our 01_schedule_job_table.md (SYS=LOP, 'In module = no'); only the ZLPDYOR1-9 children are missing. A dense ZLPD* family does exist in the corpus (about 720 manifest references, e.g. ZLPD06R*, ZLPDV1U8), but resemblance is not evidence of function.</t>
  </si>
  <si>
    <t xml:space="preserve">JCLIBALL sweep; CA7/DOLDAILYD061526; 01_schedule_job_table.md line 1338 (ZLPDYO99); SharePoint FSTRUC Daily 2015 snapshot</t>
  </si>
  <si>
    <t xml:space="preserve">Were ZLPDYOR1-9 retired? If ZLPDYO99 still runs, what does it trigger now?</t>
  </si>
  <si>
    <t xml:space="preserve">v6 (held out)</t>
  </si>
  <si>
    <t xml:space="preserve">v6-Q1</t>
  </si>
  <si>
    <t xml:space="preserve">Walk me through the daily bank reconciliation job L204DF2: what does it produce, and how do check records get from the daily register to the bank files?</t>
  </si>
  <si>
    <t xml:space="preserve">SORTA truncates BIGREC to 80 bytes. BNKFLMOD zeroes the leading 3 check digits for online account 0001273507. BNKFLDTE prepends an MMDDCCYY stamp (80 -&gt; 88 bytes). UIBNKDAT splits the data into four bank transmission files, routing on the DAA account: 0001273496 -&gt; ACC2528 (the 'online' file), 0001273507 -&gt; ACC2536 (the 'batch' file; online/batch are deliberately reversed per a 7/99 comment), 0000422327 -&gt; ACC0987 (TUC), 3359810499 -&gt; ACC0499 (EB). The 2528/2536/0987/0499 suffixes are only dataset-name relics of OLD BofA account numbers, and each file gets a RECONCILIATIONHEADER (bank 0075, totals). BNKFLBLD loads online (0001273507) and backup (0001273518) account records into the BANKMTCH VSAM file (120-day purge, per-account check-number parsing: backup 7-digit, online 8-digit). BUILDOUT rebuilds the outstanding-payments file (pivot year 80) into the CHECKS.ISSUED GDG. Note BNKFLBLD and BUILDOUT branch off PRE-BNKFLMOD data, so the check-digit zeroing does NOT reach BANKMTCH or CHECKS.ISSUED. The single-account transmission (COMBINE) is retired and accounts have been kept separate since the BofA change; the JCL says transmission occurs in job COREDIAL, and its comment names INTERM.RECON.DTL, which appears stale (no longer produced).</t>
  </si>
  <si>
    <t xml:space="preserve">L204DF2 JCL + BRE; BNKFLMOD, BNKFLDTE, UIBNKDAT, BNKFLBLD, BUILDOUT; adjudicated 2026-08-18</t>
  </si>
  <si>
    <t xml:space="preserve">Confirm the four account-to-file routings and that online/batch labels really are reversed. Is COREDIAL still the transmission job, and is INTERM.RECON.DTL truly no longer produced? Is the 120-day BANKMTCH purge current?</t>
  </si>
  <si>
    <t xml:space="preserve">v6-Q2</t>
  </si>
  <si>
    <t xml:space="preserve">How are the daily BC3E claimant forms prepared for laser printing in job L207DCL, and what does each program in the chain do to the record?</t>
  </si>
  <si>
    <t xml:space="preserve">Foreign / domestic split on ZIP '00000' (column 342). DXCB165U appends a 5+4 ZIP (778 -&gt; 787 bytes). DXCB166U substitutes a saved ZIP when the primary is blank or all zeroes (back to 778). DXCBD24E inserts the 5-digit ZIP into the last address line when 3 consecutive spaces are found (778 -&gt; 778, no length change). DXCBBC3E reformats LAST/FIRST MI into FIRST MI LAST and appends a 12-byte key made of a 4-digit SSN fragment (digits 4-7) plus the YYYYMMDD mail date (790). The UIMB0754 step (load module UIMI0754, DB2) inserts the 7-digit employer SYNCODE from UIMT_SG03_EMPLOYER, looked up by SSN + FEIN, between the data and the key, defaulting to zero on any non-zero SQLCODE (797). The foreign stream SKIPS the three ZIP steps and gets only the BC3E and SYNCODE treatment. Finally IEBGENER LASRPRNT concatenates foreign first, then domestic, to the AFP laser printer (FORMDEF GEN14, PAGEDEF DOLB3E).</t>
  </si>
  <si>
    <t xml:space="preserve">L207DCL JCL + BRE; DXCB165U, DXCB166U, DXCBD24E, DXCBBC3E, UIMB0754/UIMI0754; UIMT_SG03_EMPLOYER; adjudicated 2026-08-18</t>
  </si>
  <si>
    <t xml:space="preserve">Confirm the record-length progression (778/787/790/797) and the foreign-stream skip. Is the zero-SYNCODE default on a bad SQLCODE acceptable, or does it mask a data problem?</t>
  </si>
  <si>
    <t xml:space="preserve">v6-Q3</t>
  </si>
  <si>
    <t xml:space="preserve">rule logic</t>
  </si>
  <si>
    <t xml:space="preserve">In the daily refund reporting stream, how does LOOPS decide whether a refund payment counts as CASH, an offset, or a write-off?</t>
  </si>
  <si>
    <t xml:space="preserve">DXCRD99E (job L213DC): pay types 01-04, 07, 09-12 and 51 -&gt; CASH; pay type 99 WITH a waiver reason code -&gt; WOFF (write-off), without one -&gt; CASH; everything else -&gt; OFFSET (written as the literal 'CLPY'); pay type 06 is an invalid-pay-type error routed to the DB89 error file. The program also bypasses payment dates before 01/01/1998 (stored complemented, so they are converted first) and voided After images. SSN 999999999 -&gt; SUSPENSE, which is set as 'SP' in the separate LOOPS/SKELETON indicator field rather than being a third account code, so the record still gets CASH/CLPY/WOFF. Downstream, SYNCSRT5-7 split the output into DB99CASH, DB99OFFS and DB99WOFF.</t>
  </si>
  <si>
    <t xml:space="preserve">DXCRD99E (job L213DC) BRE + COBOL; SYNCSRT5-7; adjudicated 2026-08-18</t>
  </si>
  <si>
    <t xml:space="preserve">Confirm the pay-type lists and that 06 is genuinely invalid rather than obsolete. Is the 01/01/1998 cutoff still meaningful? Is SSN 999999999 still the suspense convention?</t>
  </si>
  <si>
    <t xml:space="preserve">v6-Q4</t>
  </si>
  <si>
    <t xml:space="preserve">What validations and computations does DXCRD88E apply to refund DB08 records, and how does it classify claims?</t>
  </si>
  <si>
    <t xml:space="preserve">Net refund balance = amounts due minus amounts paid across NONFED, EB, FSC, FED, EUB, WFD, FINES and INTEREST. Sign comes from the before/after byte (B and D = -1; A and I = +1). It rejects an invalid B/A byte, 'D' deletes, and program code 45, routing all of them to the error file without abending. Classification: LOOPS = PC 10, 20-23, 30, 31, 40-43, versus SKELETON otherwise; PC 99 = SUSPENSE. Federal plus NonFed percentages must sum to 100% (D15U exempt; all percent checks are gated on a FED amount-due greater than zero); errors go to the DB89FILE DD. Additional checks: PC 20 (FED% = UCFE% = 100%), PC 30 (FED% = UCX% = 100%), PC 80/83 checks, UCX% + UCFE% = FED% reconciliation within 0.0001, and UCX/UCFE apportionment of FED balances.</t>
  </si>
  <si>
    <t xml:space="preserve">DXCRD88E BRE + COBOL (job L213DC); adjudicated 2026-08-18</t>
  </si>
  <si>
    <t xml:space="preserve">Confirm the LOOPS vs SKELETON program-code split, the PC-45 rejection, and the D15U percent-check exemption. Why is PC 45 rejected here?</t>
  </si>
  <si>
    <t xml:space="preserve">v6-Q5</t>
  </si>
  <si>
    <t xml:space="preserve">retrieval (multi-hop, data flow)</t>
  </si>
  <si>
    <t xml:space="preserve">Job L216DA maintains the alpha (name search) file. What are its inputs, and how does a day's activity end up in the alpha VSAM file?</t>
  </si>
  <si>
    <t xml:space="preserve">Three claim streams (NEWCLAIM, CLMMAINT and the DABS SRTFL) feed DXCBD08R, which standardizes them into 55-byte alpha records (name split on '/', address split, non-alpha characters stripped). The VSAM.ALPHA.CLUSTER is unloaded (REPRO SKIP(1)) and DXCBD06R splits each 23,465-byte record into up to 434 54-byte person records. Both sides are sorted by SSN (the JCL step comments wrongly say 'BY ZIP CODE'; bytes 21-29 are the SSN). DXCBD13R merges them: a daily record replaces the matching old record and the latest consecutive duplicate wins. Output is the ALPHA GDG to tape with permanent retention (EXPDT=99000). Important handoff: L216DA itself NEVER writes the VSAM cluster. Companion job L216DB deletes and redefines the cluster, and DXCBD04R repacks the GDG's 54-byte records back into the 434-slot VSAM records.</t>
  </si>
  <si>
    <t xml:space="preserve">L216DA JCL + BRE; DXCBD08R, DXCBD06R, DXCBD13R; L216DB + DXCBD04R; adjudicated 2026-08-18</t>
  </si>
  <si>
    <t xml:space="preserve">Confirm the L216DA -&gt; L216DB handoff (that L216DA never writes the cluster) and the 434-slot record structure. Should the 'BY ZIP CODE' JCL comments be corrected?</t>
  </si>
  <si>
    <t xml:space="preserve">v6-Q6</t>
  </si>
  <si>
    <t xml:space="preserve">rule logic (design intent)</t>
  </si>
  <si>
    <t xml:space="preserve">The automated handbook update job sorts IB13 updates by state and section within date and time before applying them. Why does that order matter, and what does the update program do with each record?</t>
  </si>
  <si>
    <t xml:space="preserve">Job L2AHD13. The sort card is state + section MAJOR with date + time minor (the JCL narrative's 'state and section within date and time' wording is inverted relative to the card; technically it is date/time within state/section). That ordering means the most recent update for a section is processed LAST. UIPBHB02 deletes the existing handbook record and then writes the update (delete-then-write), so the newest version of each section survives. It also chains multi-record sections via HB-NEXT-RECORD-SWITCH, which requires continuation records to arrive consecutively; deletes the matching Handbook-In-Progress entry; and flips the IB13 batch switch to mark the batch processed (UIPBHB01 skips switch = 'Y' on the next run). Note a commented-out sort card (date/time major) sits above the active one: it would break SECTION CONTIGUITY and misassemble multi-record sections, though last-write-wins per key would technically survive either order.</t>
  </si>
  <si>
    <t xml:space="preserve">L2AHD13 JCL sort card + BRE; UIPBHB01, UIPBHB02; adjudicated 2026-08-18</t>
  </si>
  <si>
    <t xml:space="preserve">Confirm the sort-order intent (section contiguity for multi-record sections) and the delete-then-write behavior. Should the JCL narrative wording be corrected?</t>
  </si>
  <si>
    <t xml:space="preserve">v6-Q7</t>
  </si>
  <si>
    <t xml:space="preserve">Which daily job produces the employer daily charge report, which records make it onto the report, and how is the report organized?</t>
  </si>
  <si>
    <t xml:space="preserve">Job L205DRPT. DXCBD90E passes the daily charge file through (its extract output is DUMMY'd). SORTCPY keeps only FEINs 000000000200002 and 000000000300002. DXCBO56R prints the report, negating the amount when the void indicator is not '0', applying a PAYTRAN filter (values under 200 and 400-599 accepted), with control breaks on FEIN (major) -&gt; SYNCODE -&gt; SSN (minor), subtotals cascading minor to major plus a grand total, at 52 lines per page. Output goes to external writer LOP03900 (class 9, FREE=CLOSE).</t>
  </si>
  <si>
    <t xml:space="preserve">L205DRPT JCL + BRE; DXCBD90E, DXCBO56R; adjudicated 2026-08-18</t>
  </si>
  <si>
    <t xml:space="preserve">Confirm the two hardcoded FEINs are still the right filter and what they represent, and that the PAYTRAN ranges are current. Is LOP03900 still a live printer destination?</t>
  </si>
  <si>
    <t xml:space="preserve">v6-Q8</t>
  </si>
  <si>
    <t xml:space="preserve">data flow (conflict surfacing)</t>
  </si>
  <si>
    <t xml:space="preserve">In job L213DC, where do the error records from the DB08 reformat program (DXCRD88E) actually land, and is there anything surprising about it?</t>
  </si>
  <si>
    <t xml:space="preserve">The DD is named DB89FILE in BOTH programs but points at DIFFERENT datasets: DXCRD88E's errors land in L213DC.DB98FIL.DTL, while DXCRD99E's land in L213DC.DB89FIL.DTL. Only the 88E half mismatches (nothing was swapped between the steps). A commented-out DD in the 88E step already pointed at DB98FILE.DTL, which reads as evidence of a FILE -&gt; FIL rename rather than of the mismatch being introduced. REPRA262, a later step in the SAME job, REPROs the two datasets straight into the DB89FILE and DB98FILE GDGs (89 -&gt; 89, 98 -&gt; 98). The surprise is the DD-name-versus-dataset mismatch on the 88E step: assuming from the DD name that the errors land in 'the DB89 file' is wrong.</t>
  </si>
  <si>
    <t xml:space="preserve">L213DC JCL (DXCRD88E and DXCRD99E steps, REPRA262); bre/jcl/L213DC.md; adjudicated 2026-08-18</t>
  </si>
  <si>
    <t xml:space="preserve">Is the DD-name / dataset mismatch on the DXCRD88E step intentional or a latent bug? Which dataset is meant to hold the 88E errors?</t>
  </si>
  <si>
    <t xml:space="preserve">v6-Q9</t>
  </si>
  <si>
    <t xml:space="preserve">retrieval + scope boundary</t>
  </si>
  <si>
    <t xml:space="preserve">How does LOOPS record self-service direct deposit changes, and how would the replacement system tell a web-submitted change from other sources?</t>
  </si>
  <si>
    <t xml:space="preserve">Direct deposit records in UIMT_DIR_DEP_INFO carry a Transaction Source Code (IDN_CONVERSATION), and 'WEB ' marks changes submitted through the online self-service channel. The rule is documented in UIMB0803, which extracts pay-status-changed records daily to populate Form BC-516 and evaluates conversation types D185, D186 and WEB. About 111 files mention direct deposit and 17 BRE docs reference IDN_CONVERSATION; UIMB0298 handles debit-card-migration inserts against the Direct Deposit Info table. NOT in corpus: the SSI-side job names and schedules from the deprecation brief ('Direct Deposit Sync', 'Direct Deposit Update', 'Direct Deposit Update Update', 'Address Update') and the SSI-to-LOOPS transport mechanism; SSI is not documented as a system on our side.</t>
  </si>
  <si>
    <t xml:space="preserve">UIMT_DIR_DEP_INFO (IDN_CONVERSATION); UIMB0803 (BC-516 extract, D185/D186/WEB); UIMB0298</t>
  </si>
  <si>
    <t xml:space="preserve">Confirm 'WEB ' is the only web marker and what D185/D186 are. What are the real SSI-side job names and how do they push into LOOPS?</t>
  </si>
  <si>
    <t xml:space="preserve">v6-Q10</t>
  </si>
  <si>
    <t xml:space="preserve">The Persistence API identifies a claim by SSN, date of claim, and program code. Is that how LOOPS uniquely identifies a claim?</t>
  </si>
  <si>
    <t xml:space="preserve">Yes: the SSN / program code / date-of-claim triplet is the pervasive claim identity. Examples: UIMB0004's UIMV_SSN_RETIRED insert keys on IDN_SSN + PC + DOC; UIMT_RSA_NONMON carries SSN, program code and claim date; UIMB0147's crossmatch insert and RTW report lines all carry SSN/PC/DOC; report headers routinely print the triplet (RTW-HEAD-SSN / PC / DOC). Worth adding: IMS claim segments are additionally qualified by segment type (DB01 basic, DB10 additional claim).</t>
  </si>
  <si>
    <t xml:space="preserve">UIMB0004 / UIMV_SSN_RETIRED; UIMT_RSA_NONMON; UIMB0147; report headers (RTW-HEAD-SSN/PC/DOC)</t>
  </si>
  <si>
    <t xml:space="preserve">Confirm SSN + PC + DOC is a genuinely unique claim key (no cases needing a fourth field), and how additional claims (DB10) are addressed within it.</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</si>
</sst>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sz val="10"/>
      <color rgb="FF000000"/>
      <name val="Arial"/>
      <family val="0"/>
      <charset val="1"/>
    </font>
    <font>
      <b val="true"/>
      <sz val="12"/>
      <color rgb="FF000000"/>
      <name val="Arial"/>
      <family val="0"/>
      <charset val="1"/>
    </font>
    <font>
      <b val="true"/>
      <sz val="10"/>
      <color rgb="FF000000"/>
      <name val="Arial"/>
      <family val="0"/>
      <charset val="1"/>
    </font>
    <font>
      <b val="true"/>
      <sz val="10"/>
      <color rgb="FFFFFFFF"/>
      <name val="Arial"/>
      <family val="0"/>
      <charset val="1"/>
    </font>
    <font>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00"/>
    <col collapsed="false" customWidth="true" hidden="false" outlineLevel="0" max="4" min="3" style="0" width="16"/>
  </cols>
  <sheetData>
    <row r="1" customFormat="false" ht="48.5" hidden="false" customHeight="false" outlineLevel="0" collapsed="false">
      <c r="A1" s="1" t="s">
        <v>0</v>
      </c>
    </row>
    <row r="2" customFormat="false" ht="45" hidden="false" customHeight="true" outlineLevel="0" collapsed="false">
      <c r="A2" s="2" t="s">
        <v>1</v>
      </c>
      <c r="B2" s="2"/>
    </row>
    <row r="4" customFormat="false" ht="15" hidden="false" customHeight="false" outlineLevel="0" collapsed="false">
      <c r="A4" s="3" t="s">
        <v>2</v>
      </c>
    </row>
    <row r="5" customFormat="false" ht="42" hidden="false" customHeight="true" outlineLevel="0" collapsed="false">
      <c r="A5" s="4" t="s">
        <v>3</v>
      </c>
      <c r="B5" s="5" t="s">
        <v>4</v>
      </c>
    </row>
    <row r="6" customFormat="false" ht="42" hidden="false" customHeight="true" outlineLevel="0" collapsed="false">
      <c r="A6" s="4" t="s">
        <v>5</v>
      </c>
      <c r="B6" s="5" t="s">
        <v>6</v>
      </c>
    </row>
    <row r="7" customFormat="false" ht="42" hidden="false" customHeight="true" outlineLevel="0" collapsed="false">
      <c r="A7" s="4" t="s">
        <v>7</v>
      </c>
      <c r="B7" s="5" t="s">
        <v>8</v>
      </c>
    </row>
    <row r="8" customFormat="false" ht="42" hidden="false" customHeight="true" outlineLevel="0" collapsed="false">
      <c r="A8" s="4" t="s">
        <v>9</v>
      </c>
      <c r="B8" s="5" t="s">
        <v>10</v>
      </c>
    </row>
    <row r="9" customFormat="false" ht="42" hidden="false" customHeight="true" outlineLevel="0" collapsed="false">
      <c r="A9" s="4" t="s">
        <v>11</v>
      </c>
      <c r="B9" s="5" t="s">
        <v>12</v>
      </c>
    </row>
    <row r="10" customFormat="false" ht="42" hidden="false" customHeight="true" outlineLevel="0" collapsed="false">
      <c r="A10" s="4" t="s">
        <v>13</v>
      </c>
      <c r="B10" s="5" t="s">
        <v>14</v>
      </c>
    </row>
    <row r="12" customFormat="false" ht="26.85" hidden="false" customHeight="false" outlineLevel="0" collapsed="false">
      <c r="A12" s="3" t="s">
        <v>15</v>
      </c>
    </row>
    <row r="13" customFormat="false" ht="31.5" hidden="false" customHeight="true" outlineLevel="0" collapsed="false">
      <c r="A13" s="4" t="s">
        <v>16</v>
      </c>
      <c r="B13" s="5" t="s">
        <v>17</v>
      </c>
    </row>
    <row r="14" customFormat="false" ht="31.5" hidden="false" customHeight="true" outlineLevel="0" collapsed="false">
      <c r="A14" s="4" t="s">
        <v>18</v>
      </c>
      <c r="B14" s="5" t="s">
        <v>19</v>
      </c>
    </row>
    <row r="15" customFormat="false" ht="31.5" hidden="false" customHeight="true" outlineLevel="0" collapsed="false">
      <c r="A15" s="4" t="s">
        <v>20</v>
      </c>
      <c r="B15" s="5" t="s">
        <v>21</v>
      </c>
    </row>
    <row r="16" customFormat="false" ht="31.5" hidden="false" customHeight="true" outlineLevel="0" collapsed="false">
      <c r="A16" s="4" t="s">
        <v>22</v>
      </c>
      <c r="B16" s="5" t="s">
        <v>23</v>
      </c>
    </row>
    <row r="17" customFormat="false" ht="31.5" hidden="false" customHeight="true" outlineLevel="0" collapsed="false">
      <c r="A17" s="4" t="s">
        <v>24</v>
      </c>
      <c r="B17" s="5" t="s">
        <v>25</v>
      </c>
    </row>
    <row r="18" customFormat="false" ht="31.5" hidden="false" customHeight="true" outlineLevel="0" collapsed="false">
      <c r="A18" s="4" t="s">
        <v>26</v>
      </c>
      <c r="B18" s="5" t="s">
        <v>27</v>
      </c>
    </row>
    <row r="19" customFormat="false" ht="31.5" hidden="false" customHeight="true" outlineLevel="0" collapsed="false">
      <c r="A19" s="4" t="s">
        <v>28</v>
      </c>
      <c r="B19" s="5" t="s">
        <v>29</v>
      </c>
    </row>
    <row r="21" customFormat="false" ht="15" hidden="false" customHeight="false" outlineLevel="0" collapsed="false">
      <c r="A21" s="3" t="s">
        <v>30</v>
      </c>
    </row>
    <row r="22" customFormat="false" ht="15" hidden="false" customHeight="false" outlineLevel="0" collapsed="false">
      <c r="A22" s="6" t="s">
        <v>7</v>
      </c>
      <c r="B22" s="6" t="s">
        <v>31</v>
      </c>
      <c r="C22" s="6" t="s">
        <v>32</v>
      </c>
      <c r="D22" s="6" t="s">
        <v>33</v>
      </c>
    </row>
    <row r="23" customFormat="false" ht="30" hidden="false" customHeight="true" outlineLevel="0" collapsed="false">
      <c r="A23" s="7" t="s">
        <v>34</v>
      </c>
      <c r="B23" s="7" t="s">
        <v>35</v>
      </c>
      <c r="C23" s="7" t="s">
        <v>36</v>
      </c>
      <c r="D23" s="7" t="s">
        <v>37</v>
      </c>
    </row>
    <row r="25" customFormat="false" ht="15" hidden="false" customHeight="false" outlineLevel="0" collapsed="false">
      <c r="A25" s="3" t="s">
        <v>38</v>
      </c>
    </row>
    <row r="26" customFormat="false" ht="15" hidden="false" customHeight="false" outlineLevel="0" collapsed="false">
      <c r="A26" s="4" t="s">
        <v>39</v>
      </c>
      <c r="B26" s="8" t="n">
        <f aca="false">COUNTA('Q&amp;A for SME Review'!B2:B51)</f>
        <v>50</v>
      </c>
    </row>
    <row r="27" customFormat="false" ht="15" hidden="false" customHeight="false" outlineLevel="0" collapsed="false">
      <c r="A27" s="4" t="s">
        <v>40</v>
      </c>
      <c r="B27" s="8" t="n">
        <f aca="false">COUNTA('Q&amp;A for SME Review'!I2:I51)</f>
        <v>0</v>
      </c>
    </row>
    <row r="28" customFormat="false" ht="15" hidden="false" customHeight="false" outlineLevel="0" collapsed="false">
      <c r="A28" s="4" t="s">
        <v>41</v>
      </c>
      <c r="B28" s="8" t="n">
        <f aca="false">COUNTIF('Q&amp;A for SME Review'!I2:I51,"Confirmed")</f>
        <v>0</v>
      </c>
    </row>
    <row r="29" customFormat="false" ht="15" hidden="false" customHeight="false" outlineLevel="0" collapsed="false">
      <c r="A29" s="4" t="s">
        <v>34</v>
      </c>
      <c r="B29" s="8" t="n">
        <f aca="false">COUNTIF('Q&amp;A for SME Review'!I2:I51,"Needs correction")</f>
        <v>0</v>
      </c>
    </row>
    <row r="30" customFormat="false" ht="15" hidden="false" customHeight="false" outlineLevel="0" collapsed="false">
      <c r="A30" s="4" t="s">
        <v>42</v>
      </c>
      <c r="B30" s="8" t="n">
        <f aca="false">COUNTIF('Q&amp;A for SME Review'!I2:I51,"Unsure")</f>
        <v>0</v>
      </c>
    </row>
    <row r="31" customFormat="false" ht="15" hidden="false" customHeight="false" outlineLevel="0" collapsed="false">
      <c r="A31" s="4" t="s">
        <v>43</v>
      </c>
      <c r="B31" s="8" t="n">
        <f aca="false">COUNTIF('Q&amp;A for SME Review'!I2:I51,"N/A")</f>
        <v>0</v>
      </c>
    </row>
    <row r="32" customFormat="false" ht="15" hidden="false" customHeight="false" outlineLevel="0" collapsed="false">
      <c r="A32" s="4" t="s">
        <v>44</v>
      </c>
      <c r="B32" s="8" t="n">
        <f aca="false">COUNTA('Q&amp;A for SME Review'!B2:B51)-COUNTA('Q&amp;A for SME Review'!I2:I51)</f>
        <v>50</v>
      </c>
    </row>
    <row r="34" customFormat="false" ht="42" hidden="false" customHeight="true" outlineLevel="0" collapsed="false">
      <c r="A34" s="4" t="s">
        <v>45</v>
      </c>
      <c r="B34" s="5" t="s">
        <v>46</v>
      </c>
    </row>
  </sheetData>
  <mergeCells count="1">
    <mergeCell ref="A2:B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3" min="3" style="0" width="22"/>
    <col collapsed="false" customWidth="true" hidden="false" outlineLevel="0" max="4" min="4" style="0" width="46"/>
    <col collapsed="false" customWidth="true" hidden="false" outlineLevel="0" max="5" min="5" style="0" width="78"/>
    <col collapsed="false" customWidth="true" hidden="false" outlineLevel="0" max="6" min="6" style="0" width="34"/>
    <col collapsed="false" customWidth="true" hidden="false" outlineLevel="0" max="7" min="7" style="0" width="26"/>
    <col collapsed="false" customWidth="true" hidden="false" outlineLevel="0" max="8" min="8" style="0" width="44"/>
    <col collapsed="false" customWidth="true" hidden="false" outlineLevel="0" max="9" min="9" style="0" width="18"/>
    <col collapsed="false" customWidth="true" hidden="false" outlineLevel="0" max="10" min="10" style="0" width="40"/>
    <col collapsed="false" customWidth="true" hidden="false" outlineLevel="0" max="11" min="11" style="0" width="16"/>
    <col collapsed="false" customWidth="true" hidden="false" outlineLevel="0" max="12" min="12" style="0" width="14"/>
  </cols>
  <sheetData>
    <row r="1" customFormat="false" ht="30" hidden="false" customHeight="true" outlineLevel="0" collapsed="false">
      <c r="A1" s="9" t="s">
        <v>47</v>
      </c>
      <c r="B1" s="9" t="s">
        <v>48</v>
      </c>
      <c r="C1" s="9" t="s">
        <v>49</v>
      </c>
      <c r="D1" s="9" t="s">
        <v>50</v>
      </c>
      <c r="E1" s="9" t="s">
        <v>51</v>
      </c>
      <c r="F1" s="9" t="s">
        <v>52</v>
      </c>
      <c r="G1" s="9" t="s">
        <v>53</v>
      </c>
      <c r="H1" s="9" t="s">
        <v>54</v>
      </c>
      <c r="I1" s="9" t="s">
        <v>7</v>
      </c>
      <c r="J1" s="9" t="s">
        <v>31</v>
      </c>
      <c r="K1" s="9" t="s">
        <v>32</v>
      </c>
      <c r="L1" s="9" t="s">
        <v>33</v>
      </c>
    </row>
    <row r="2" customFormat="false" ht="120" hidden="false" customHeight="true" outlineLevel="0" collapsed="false">
      <c r="A2" s="10" t="s">
        <v>55</v>
      </c>
      <c r="B2" s="10" t="s">
        <v>56</v>
      </c>
      <c r="C2" s="10" t="s">
        <v>57</v>
      </c>
      <c r="D2" s="10" t="s">
        <v>58</v>
      </c>
      <c r="E2" s="10" t="s">
        <v>59</v>
      </c>
      <c r="F2" s="10" t="s">
        <v>60</v>
      </c>
      <c r="G2" s="10" t="s">
        <v>16</v>
      </c>
      <c r="H2" s="10" t="s">
        <v>61</v>
      </c>
      <c r="I2" s="7"/>
      <c r="J2" s="7"/>
      <c r="K2" s="7"/>
      <c r="L2" s="7"/>
    </row>
    <row r="3" customFormat="false" ht="120" hidden="false" customHeight="true" outlineLevel="0" collapsed="false">
      <c r="A3" s="10" t="s">
        <v>55</v>
      </c>
      <c r="B3" s="10" t="s">
        <v>62</v>
      </c>
      <c r="C3" s="10" t="s">
        <v>57</v>
      </c>
      <c r="D3" s="10" t="s">
        <v>63</v>
      </c>
      <c r="E3" s="10" t="s">
        <v>64</v>
      </c>
      <c r="F3" s="10" t="s">
        <v>65</v>
      </c>
      <c r="G3" s="10" t="s">
        <v>16</v>
      </c>
      <c r="H3" s="10" t="s">
        <v>66</v>
      </c>
      <c r="I3" s="7"/>
      <c r="J3" s="7"/>
      <c r="K3" s="7"/>
      <c r="L3" s="7"/>
    </row>
    <row r="4" customFormat="false" ht="120" hidden="false" customHeight="true" outlineLevel="0" collapsed="false">
      <c r="A4" s="10" t="s">
        <v>55</v>
      </c>
      <c r="B4" s="10" t="s">
        <v>67</v>
      </c>
      <c r="C4" s="10" t="s">
        <v>57</v>
      </c>
      <c r="D4" s="10" t="s">
        <v>68</v>
      </c>
      <c r="E4" s="10" t="s">
        <v>69</v>
      </c>
      <c r="F4" s="10" t="s">
        <v>70</v>
      </c>
      <c r="G4" s="10" t="s">
        <v>18</v>
      </c>
      <c r="H4" s="10" t="s">
        <v>71</v>
      </c>
      <c r="I4" s="7"/>
      <c r="J4" s="7"/>
      <c r="K4" s="7"/>
      <c r="L4" s="7"/>
    </row>
    <row r="5" customFormat="false" ht="120" hidden="false" customHeight="true" outlineLevel="0" collapsed="false">
      <c r="A5" s="10" t="s">
        <v>55</v>
      </c>
      <c r="B5" s="10" t="s">
        <v>72</v>
      </c>
      <c r="C5" s="10" t="s">
        <v>73</v>
      </c>
      <c r="D5" s="10" t="s">
        <v>74</v>
      </c>
      <c r="E5" s="10" t="s">
        <v>75</v>
      </c>
      <c r="F5" s="10" t="s">
        <v>76</v>
      </c>
      <c r="G5" s="10" t="s">
        <v>18</v>
      </c>
      <c r="H5" s="10" t="s">
        <v>77</v>
      </c>
      <c r="I5" s="7"/>
      <c r="J5" s="7"/>
      <c r="K5" s="7"/>
      <c r="L5" s="7"/>
    </row>
    <row r="6" customFormat="false" ht="120" hidden="false" customHeight="true" outlineLevel="0" collapsed="false">
      <c r="A6" s="10" t="s">
        <v>55</v>
      </c>
      <c r="B6" s="10" t="s">
        <v>78</v>
      </c>
      <c r="C6" s="10" t="s">
        <v>73</v>
      </c>
      <c r="D6" s="10" t="s">
        <v>79</v>
      </c>
      <c r="E6" s="10" t="s">
        <v>80</v>
      </c>
      <c r="F6" s="10" t="s">
        <v>81</v>
      </c>
      <c r="G6" s="10" t="s">
        <v>24</v>
      </c>
      <c r="H6" s="10" t="s">
        <v>82</v>
      </c>
      <c r="I6" s="7"/>
      <c r="J6" s="7"/>
      <c r="K6" s="7"/>
      <c r="L6" s="7"/>
    </row>
    <row r="7" customFormat="false" ht="120" hidden="false" customHeight="true" outlineLevel="0" collapsed="false">
      <c r="A7" s="10" t="s">
        <v>55</v>
      </c>
      <c r="B7" s="10" t="s">
        <v>83</v>
      </c>
      <c r="C7" s="10" t="s">
        <v>84</v>
      </c>
      <c r="D7" s="10" t="s">
        <v>85</v>
      </c>
      <c r="E7" s="10" t="s">
        <v>86</v>
      </c>
      <c r="F7" s="10" t="s">
        <v>87</v>
      </c>
      <c r="G7" s="10" t="s">
        <v>16</v>
      </c>
      <c r="H7" s="10" t="s">
        <v>88</v>
      </c>
      <c r="I7" s="7"/>
      <c r="J7" s="7"/>
      <c r="K7" s="7"/>
      <c r="L7" s="7"/>
    </row>
    <row r="8" customFormat="false" ht="120" hidden="false" customHeight="true" outlineLevel="0" collapsed="false">
      <c r="A8" s="10" t="s">
        <v>55</v>
      </c>
      <c r="B8" s="10" t="s">
        <v>89</v>
      </c>
      <c r="C8" s="10" t="s">
        <v>90</v>
      </c>
      <c r="D8" s="10" t="s">
        <v>91</v>
      </c>
      <c r="E8" s="10" t="s">
        <v>92</v>
      </c>
      <c r="F8" s="10" t="s">
        <v>93</v>
      </c>
      <c r="G8" s="10" t="s">
        <v>26</v>
      </c>
      <c r="H8" s="10" t="s">
        <v>94</v>
      </c>
      <c r="I8" s="7"/>
      <c r="J8" s="7"/>
      <c r="K8" s="7"/>
      <c r="L8" s="7"/>
    </row>
    <row r="9" customFormat="false" ht="120" hidden="false" customHeight="true" outlineLevel="0" collapsed="false">
      <c r="A9" s="10" t="s">
        <v>55</v>
      </c>
      <c r="B9" s="10" t="s">
        <v>95</v>
      </c>
      <c r="C9" s="10" t="s">
        <v>96</v>
      </c>
      <c r="D9" s="10" t="s">
        <v>97</v>
      </c>
      <c r="E9" s="10" t="s">
        <v>98</v>
      </c>
      <c r="F9" s="10" t="s">
        <v>99</v>
      </c>
      <c r="G9" s="10" t="s">
        <v>20</v>
      </c>
      <c r="H9" s="10" t="s">
        <v>100</v>
      </c>
      <c r="I9" s="7"/>
      <c r="J9" s="7"/>
      <c r="K9" s="7"/>
      <c r="L9" s="7"/>
    </row>
    <row r="10" customFormat="false" ht="120" hidden="false" customHeight="true" outlineLevel="0" collapsed="false">
      <c r="A10" s="11" t="s">
        <v>101</v>
      </c>
      <c r="B10" s="11" t="s">
        <v>102</v>
      </c>
      <c r="C10" s="11" t="s">
        <v>57</v>
      </c>
      <c r="D10" s="11" t="s">
        <v>103</v>
      </c>
      <c r="E10" s="11" t="s">
        <v>104</v>
      </c>
      <c r="F10" s="11" t="s">
        <v>105</v>
      </c>
      <c r="G10" s="11" t="s">
        <v>16</v>
      </c>
      <c r="H10" s="11" t="s">
        <v>106</v>
      </c>
      <c r="I10" s="7"/>
      <c r="J10" s="7"/>
      <c r="K10" s="7"/>
      <c r="L10" s="7"/>
    </row>
    <row r="11" customFormat="false" ht="120" hidden="false" customHeight="true" outlineLevel="0" collapsed="false">
      <c r="A11" s="11" t="s">
        <v>101</v>
      </c>
      <c r="B11" s="11" t="s">
        <v>107</v>
      </c>
      <c r="C11" s="11" t="s">
        <v>57</v>
      </c>
      <c r="D11" s="11" t="s">
        <v>108</v>
      </c>
      <c r="E11" s="11" t="s">
        <v>109</v>
      </c>
      <c r="F11" s="11" t="s">
        <v>110</v>
      </c>
      <c r="G11" s="11" t="s">
        <v>16</v>
      </c>
      <c r="H11" s="11" t="s">
        <v>111</v>
      </c>
      <c r="I11" s="7"/>
      <c r="J11" s="7"/>
      <c r="K11" s="7"/>
      <c r="L11" s="7"/>
    </row>
    <row r="12" customFormat="false" ht="120" hidden="false" customHeight="true" outlineLevel="0" collapsed="false">
      <c r="A12" s="11" t="s">
        <v>101</v>
      </c>
      <c r="B12" s="11" t="s">
        <v>112</v>
      </c>
      <c r="C12" s="11" t="s">
        <v>57</v>
      </c>
      <c r="D12" s="11" t="s">
        <v>113</v>
      </c>
      <c r="E12" s="11" t="s">
        <v>114</v>
      </c>
      <c r="F12" s="11" t="s">
        <v>115</v>
      </c>
      <c r="G12" s="11" t="s">
        <v>18</v>
      </c>
      <c r="H12" s="11" t="s">
        <v>116</v>
      </c>
      <c r="I12" s="7"/>
      <c r="J12" s="7"/>
      <c r="K12" s="7"/>
      <c r="L12" s="7"/>
    </row>
    <row r="13" customFormat="false" ht="120" hidden="false" customHeight="true" outlineLevel="0" collapsed="false">
      <c r="A13" s="11" t="s">
        <v>101</v>
      </c>
      <c r="B13" s="11" t="s">
        <v>117</v>
      </c>
      <c r="C13" s="11" t="s">
        <v>73</v>
      </c>
      <c r="D13" s="11" t="s">
        <v>118</v>
      </c>
      <c r="E13" s="11" t="s">
        <v>119</v>
      </c>
      <c r="F13" s="11" t="s">
        <v>120</v>
      </c>
      <c r="G13" s="11" t="s">
        <v>20</v>
      </c>
      <c r="H13" s="11" t="s">
        <v>121</v>
      </c>
      <c r="I13" s="7"/>
      <c r="J13" s="7"/>
      <c r="K13" s="7"/>
      <c r="L13" s="7"/>
    </row>
    <row r="14" customFormat="false" ht="120" hidden="false" customHeight="true" outlineLevel="0" collapsed="false">
      <c r="A14" s="11" t="s">
        <v>101</v>
      </c>
      <c r="B14" s="11" t="s">
        <v>122</v>
      </c>
      <c r="C14" s="11" t="s">
        <v>73</v>
      </c>
      <c r="D14" s="11" t="s">
        <v>123</v>
      </c>
      <c r="E14" s="11" t="s">
        <v>124</v>
      </c>
      <c r="F14" s="11" t="s">
        <v>125</v>
      </c>
      <c r="G14" s="11" t="s">
        <v>20</v>
      </c>
      <c r="H14" s="11" t="s">
        <v>126</v>
      </c>
      <c r="I14" s="7"/>
      <c r="J14" s="7"/>
      <c r="K14" s="7"/>
      <c r="L14" s="7"/>
    </row>
    <row r="15" customFormat="false" ht="120" hidden="false" customHeight="true" outlineLevel="0" collapsed="false">
      <c r="A15" s="11" t="s">
        <v>101</v>
      </c>
      <c r="B15" s="11" t="s">
        <v>127</v>
      </c>
      <c r="C15" s="11" t="s">
        <v>128</v>
      </c>
      <c r="D15" s="11" t="s">
        <v>129</v>
      </c>
      <c r="E15" s="11" t="s">
        <v>130</v>
      </c>
      <c r="F15" s="11" t="s">
        <v>131</v>
      </c>
      <c r="G15" s="11" t="s">
        <v>18</v>
      </c>
      <c r="H15" s="11" t="s">
        <v>132</v>
      </c>
      <c r="I15" s="7"/>
      <c r="J15" s="7"/>
      <c r="K15" s="7"/>
      <c r="L15" s="7"/>
    </row>
    <row r="16" customFormat="false" ht="120" hidden="false" customHeight="true" outlineLevel="0" collapsed="false">
      <c r="A16" s="11" t="s">
        <v>101</v>
      </c>
      <c r="B16" s="11" t="s">
        <v>133</v>
      </c>
      <c r="C16" s="11" t="s">
        <v>90</v>
      </c>
      <c r="D16" s="11" t="s">
        <v>134</v>
      </c>
      <c r="E16" s="11" t="s">
        <v>135</v>
      </c>
      <c r="F16" s="11" t="s">
        <v>136</v>
      </c>
      <c r="G16" s="11" t="s">
        <v>20</v>
      </c>
      <c r="H16" s="11" t="s">
        <v>137</v>
      </c>
      <c r="I16" s="7"/>
      <c r="J16" s="7"/>
      <c r="K16" s="7"/>
      <c r="L16" s="7"/>
    </row>
    <row r="17" customFormat="false" ht="120" hidden="false" customHeight="true" outlineLevel="0" collapsed="false">
      <c r="A17" s="11" t="s">
        <v>101</v>
      </c>
      <c r="B17" s="11" t="s">
        <v>138</v>
      </c>
      <c r="C17" s="11" t="s">
        <v>96</v>
      </c>
      <c r="D17" s="11" t="s">
        <v>139</v>
      </c>
      <c r="E17" s="11" t="s">
        <v>140</v>
      </c>
      <c r="F17" s="11" t="s">
        <v>141</v>
      </c>
      <c r="G17" s="11" t="s">
        <v>20</v>
      </c>
      <c r="H17" s="11" t="s">
        <v>142</v>
      </c>
      <c r="I17" s="7"/>
      <c r="J17" s="7"/>
      <c r="K17" s="7"/>
      <c r="L17" s="7"/>
    </row>
    <row r="18" customFormat="false" ht="120" hidden="false" customHeight="true" outlineLevel="0" collapsed="false">
      <c r="A18" s="10" t="s">
        <v>143</v>
      </c>
      <c r="B18" s="10" t="s">
        <v>144</v>
      </c>
      <c r="C18" s="10" t="s">
        <v>145</v>
      </c>
      <c r="D18" s="10" t="s">
        <v>146</v>
      </c>
      <c r="E18" s="10" t="s">
        <v>147</v>
      </c>
      <c r="F18" s="10" t="s">
        <v>148</v>
      </c>
      <c r="G18" s="10" t="s">
        <v>16</v>
      </c>
      <c r="H18" s="10" t="s">
        <v>149</v>
      </c>
      <c r="I18" s="7"/>
      <c r="J18" s="7"/>
      <c r="K18" s="7"/>
      <c r="L18" s="7"/>
    </row>
    <row r="19" customFormat="false" ht="120" hidden="false" customHeight="true" outlineLevel="0" collapsed="false">
      <c r="A19" s="10" t="s">
        <v>143</v>
      </c>
      <c r="B19" s="10" t="s">
        <v>150</v>
      </c>
      <c r="C19" s="10" t="s">
        <v>151</v>
      </c>
      <c r="D19" s="10" t="s">
        <v>152</v>
      </c>
      <c r="E19" s="10" t="s">
        <v>153</v>
      </c>
      <c r="F19" s="10" t="s">
        <v>154</v>
      </c>
      <c r="G19" s="10" t="s">
        <v>16</v>
      </c>
      <c r="H19" s="10" t="s">
        <v>155</v>
      </c>
      <c r="I19" s="7"/>
      <c r="J19" s="7"/>
      <c r="K19" s="7"/>
      <c r="L19" s="7"/>
    </row>
    <row r="20" customFormat="false" ht="120" hidden="false" customHeight="true" outlineLevel="0" collapsed="false">
      <c r="A20" s="10" t="s">
        <v>143</v>
      </c>
      <c r="B20" s="10" t="s">
        <v>156</v>
      </c>
      <c r="C20" s="10" t="s">
        <v>157</v>
      </c>
      <c r="D20" s="10" t="s">
        <v>158</v>
      </c>
      <c r="E20" s="10" t="s">
        <v>159</v>
      </c>
      <c r="F20" s="10" t="s">
        <v>160</v>
      </c>
      <c r="G20" s="10" t="s">
        <v>18</v>
      </c>
      <c r="H20" s="10" t="s">
        <v>161</v>
      </c>
      <c r="I20" s="7"/>
      <c r="J20" s="7"/>
      <c r="K20" s="7"/>
      <c r="L20" s="7"/>
    </row>
    <row r="21" customFormat="false" ht="120" hidden="false" customHeight="true" outlineLevel="0" collapsed="false">
      <c r="A21" s="10" t="s">
        <v>143</v>
      </c>
      <c r="B21" s="10" t="s">
        <v>162</v>
      </c>
      <c r="C21" s="10" t="s">
        <v>57</v>
      </c>
      <c r="D21" s="10" t="s">
        <v>163</v>
      </c>
      <c r="E21" s="10" t="s">
        <v>164</v>
      </c>
      <c r="F21" s="10" t="s">
        <v>165</v>
      </c>
      <c r="G21" s="10" t="s">
        <v>18</v>
      </c>
      <c r="H21" s="10" t="s">
        <v>166</v>
      </c>
      <c r="I21" s="7"/>
      <c r="J21" s="7"/>
      <c r="K21" s="7"/>
      <c r="L21" s="7"/>
    </row>
    <row r="22" customFormat="false" ht="120" hidden="false" customHeight="true" outlineLevel="0" collapsed="false">
      <c r="A22" s="10" t="s">
        <v>143</v>
      </c>
      <c r="B22" s="10" t="s">
        <v>167</v>
      </c>
      <c r="C22" s="10" t="s">
        <v>168</v>
      </c>
      <c r="D22" s="10" t="s">
        <v>169</v>
      </c>
      <c r="E22" s="10" t="s">
        <v>170</v>
      </c>
      <c r="F22" s="10" t="s">
        <v>171</v>
      </c>
      <c r="G22" s="10" t="s">
        <v>20</v>
      </c>
      <c r="H22" s="10" t="s">
        <v>172</v>
      </c>
      <c r="I22" s="7"/>
      <c r="J22" s="7"/>
      <c r="K22" s="7"/>
      <c r="L22" s="7"/>
    </row>
    <row r="23" customFormat="false" ht="120" hidden="false" customHeight="true" outlineLevel="0" collapsed="false">
      <c r="A23" s="10" t="s">
        <v>143</v>
      </c>
      <c r="B23" s="10" t="s">
        <v>173</v>
      </c>
      <c r="C23" s="10" t="s">
        <v>57</v>
      </c>
      <c r="D23" s="10" t="s">
        <v>174</v>
      </c>
      <c r="E23" s="10" t="s">
        <v>175</v>
      </c>
      <c r="F23" s="10" t="s">
        <v>176</v>
      </c>
      <c r="G23" s="10" t="s">
        <v>22</v>
      </c>
      <c r="H23" s="10" t="s">
        <v>177</v>
      </c>
      <c r="I23" s="7"/>
      <c r="J23" s="7"/>
      <c r="K23" s="7"/>
      <c r="L23" s="7"/>
    </row>
    <row r="24" customFormat="false" ht="120" hidden="false" customHeight="true" outlineLevel="0" collapsed="false">
      <c r="A24" s="10" t="s">
        <v>143</v>
      </c>
      <c r="B24" s="10" t="s">
        <v>178</v>
      </c>
      <c r="C24" s="10" t="s">
        <v>168</v>
      </c>
      <c r="D24" s="10" t="s">
        <v>179</v>
      </c>
      <c r="E24" s="10" t="s">
        <v>180</v>
      </c>
      <c r="F24" s="10" t="s">
        <v>181</v>
      </c>
      <c r="G24" s="10" t="s">
        <v>20</v>
      </c>
      <c r="H24" s="10" t="s">
        <v>182</v>
      </c>
      <c r="I24" s="7"/>
      <c r="J24" s="7"/>
      <c r="K24" s="7"/>
      <c r="L24" s="7"/>
    </row>
    <row r="25" customFormat="false" ht="120" hidden="false" customHeight="true" outlineLevel="0" collapsed="false">
      <c r="A25" s="10" t="s">
        <v>143</v>
      </c>
      <c r="B25" s="10" t="s">
        <v>183</v>
      </c>
      <c r="C25" s="10" t="s">
        <v>184</v>
      </c>
      <c r="D25" s="10" t="s">
        <v>185</v>
      </c>
      <c r="E25" s="10" t="s">
        <v>186</v>
      </c>
      <c r="F25" s="10" t="s">
        <v>187</v>
      </c>
      <c r="G25" s="10" t="s">
        <v>18</v>
      </c>
      <c r="H25" s="10" t="s">
        <v>188</v>
      </c>
      <c r="I25" s="7"/>
      <c r="J25" s="7"/>
      <c r="K25" s="7"/>
      <c r="L25" s="7"/>
    </row>
    <row r="26" customFormat="false" ht="120" hidden="false" customHeight="true" outlineLevel="0" collapsed="false">
      <c r="A26" s="11" t="s">
        <v>189</v>
      </c>
      <c r="B26" s="11" t="s">
        <v>190</v>
      </c>
      <c r="C26" s="11" t="s">
        <v>191</v>
      </c>
      <c r="D26" s="11" t="s">
        <v>192</v>
      </c>
      <c r="E26" s="11" t="s">
        <v>193</v>
      </c>
      <c r="F26" s="11" t="s">
        <v>194</v>
      </c>
      <c r="G26" s="11" t="s">
        <v>18</v>
      </c>
      <c r="H26" s="11" t="s">
        <v>195</v>
      </c>
      <c r="I26" s="7"/>
      <c r="J26" s="7"/>
      <c r="K26" s="7"/>
      <c r="L26" s="7"/>
    </row>
    <row r="27" customFormat="false" ht="120" hidden="false" customHeight="true" outlineLevel="0" collapsed="false">
      <c r="A27" s="11" t="s">
        <v>189</v>
      </c>
      <c r="B27" s="11" t="s">
        <v>196</v>
      </c>
      <c r="C27" s="11" t="s">
        <v>57</v>
      </c>
      <c r="D27" s="11" t="s">
        <v>197</v>
      </c>
      <c r="E27" s="11" t="s">
        <v>198</v>
      </c>
      <c r="F27" s="11" t="s">
        <v>199</v>
      </c>
      <c r="G27" s="11" t="s">
        <v>16</v>
      </c>
      <c r="H27" s="11" t="s">
        <v>200</v>
      </c>
      <c r="I27" s="7"/>
      <c r="J27" s="7"/>
      <c r="K27" s="7"/>
      <c r="L27" s="7"/>
    </row>
    <row r="28" customFormat="false" ht="120" hidden="false" customHeight="true" outlineLevel="0" collapsed="false">
      <c r="A28" s="11" t="s">
        <v>189</v>
      </c>
      <c r="B28" s="11" t="s">
        <v>201</v>
      </c>
      <c r="C28" s="11" t="s">
        <v>57</v>
      </c>
      <c r="D28" s="11" t="s">
        <v>202</v>
      </c>
      <c r="E28" s="11" t="s">
        <v>203</v>
      </c>
      <c r="F28" s="11" t="s">
        <v>204</v>
      </c>
      <c r="G28" s="11" t="s">
        <v>16</v>
      </c>
      <c r="H28" s="11" t="s">
        <v>205</v>
      </c>
      <c r="I28" s="7"/>
      <c r="J28" s="7"/>
      <c r="K28" s="7"/>
      <c r="L28" s="7"/>
    </row>
    <row r="29" customFormat="false" ht="120" hidden="false" customHeight="true" outlineLevel="0" collapsed="false">
      <c r="A29" s="11" t="s">
        <v>189</v>
      </c>
      <c r="B29" s="11" t="s">
        <v>206</v>
      </c>
      <c r="C29" s="11" t="s">
        <v>207</v>
      </c>
      <c r="D29" s="11" t="s">
        <v>208</v>
      </c>
      <c r="E29" s="11" t="s">
        <v>209</v>
      </c>
      <c r="F29" s="11" t="s">
        <v>210</v>
      </c>
      <c r="G29" s="11" t="s">
        <v>18</v>
      </c>
      <c r="H29" s="11" t="s">
        <v>211</v>
      </c>
      <c r="I29" s="7"/>
      <c r="J29" s="7"/>
      <c r="K29" s="7"/>
      <c r="L29" s="7"/>
    </row>
    <row r="30" customFormat="false" ht="120" hidden="false" customHeight="true" outlineLevel="0" collapsed="false">
      <c r="A30" s="11" t="s">
        <v>189</v>
      </c>
      <c r="B30" s="11" t="s">
        <v>212</v>
      </c>
      <c r="C30" s="11" t="s">
        <v>213</v>
      </c>
      <c r="D30" s="11" t="s">
        <v>214</v>
      </c>
      <c r="E30" s="11" t="s">
        <v>215</v>
      </c>
      <c r="F30" s="11" t="s">
        <v>216</v>
      </c>
      <c r="G30" s="11" t="s">
        <v>18</v>
      </c>
      <c r="H30" s="11" t="s">
        <v>217</v>
      </c>
      <c r="I30" s="7"/>
      <c r="J30" s="7"/>
      <c r="K30" s="7"/>
      <c r="L30" s="7"/>
    </row>
    <row r="31" customFormat="false" ht="120" hidden="false" customHeight="true" outlineLevel="0" collapsed="false">
      <c r="A31" s="11" t="s">
        <v>189</v>
      </c>
      <c r="B31" s="11" t="s">
        <v>218</v>
      </c>
      <c r="C31" s="11" t="s">
        <v>168</v>
      </c>
      <c r="D31" s="11" t="s">
        <v>219</v>
      </c>
      <c r="E31" s="11" t="s">
        <v>220</v>
      </c>
      <c r="F31" s="11" t="s">
        <v>221</v>
      </c>
      <c r="G31" s="11" t="s">
        <v>20</v>
      </c>
      <c r="H31" s="11" t="s">
        <v>222</v>
      </c>
      <c r="I31" s="7"/>
      <c r="J31" s="7"/>
      <c r="K31" s="7"/>
      <c r="L31" s="7"/>
    </row>
    <row r="32" customFormat="false" ht="120" hidden="false" customHeight="true" outlineLevel="0" collapsed="false">
      <c r="A32" s="11" t="s">
        <v>189</v>
      </c>
      <c r="B32" s="11" t="s">
        <v>223</v>
      </c>
      <c r="C32" s="11" t="s">
        <v>224</v>
      </c>
      <c r="D32" s="11" t="s">
        <v>225</v>
      </c>
      <c r="E32" s="11" t="s">
        <v>226</v>
      </c>
      <c r="F32" s="11" t="s">
        <v>227</v>
      </c>
      <c r="G32" s="11" t="s">
        <v>22</v>
      </c>
      <c r="H32" s="11" t="s">
        <v>228</v>
      </c>
      <c r="I32" s="7"/>
      <c r="J32" s="7"/>
      <c r="K32" s="7"/>
      <c r="L32" s="7"/>
    </row>
    <row r="33" customFormat="false" ht="120" hidden="false" customHeight="true" outlineLevel="0" collapsed="false">
      <c r="A33" s="11" t="s">
        <v>189</v>
      </c>
      <c r="B33" s="11" t="s">
        <v>229</v>
      </c>
      <c r="C33" s="11" t="s">
        <v>230</v>
      </c>
      <c r="D33" s="11" t="s">
        <v>231</v>
      </c>
      <c r="E33" s="11" t="s">
        <v>232</v>
      </c>
      <c r="F33" s="11" t="s">
        <v>233</v>
      </c>
      <c r="G33" s="11" t="s">
        <v>18</v>
      </c>
      <c r="H33" s="11" t="s">
        <v>234</v>
      </c>
      <c r="I33" s="7"/>
      <c r="J33" s="7"/>
      <c r="K33" s="7"/>
      <c r="L33" s="7"/>
    </row>
    <row r="34" customFormat="false" ht="120" hidden="false" customHeight="true" outlineLevel="0" collapsed="false">
      <c r="A34" s="10" t="s">
        <v>235</v>
      </c>
      <c r="B34" s="10" t="s">
        <v>236</v>
      </c>
      <c r="C34" s="10" t="s">
        <v>237</v>
      </c>
      <c r="D34" s="10" t="s">
        <v>238</v>
      </c>
      <c r="E34" s="10" t="s">
        <v>239</v>
      </c>
      <c r="F34" s="10" t="s">
        <v>240</v>
      </c>
      <c r="G34" s="10" t="s">
        <v>16</v>
      </c>
      <c r="H34" s="10" t="s">
        <v>241</v>
      </c>
      <c r="I34" s="7"/>
      <c r="J34" s="7"/>
      <c r="K34" s="7"/>
      <c r="L34" s="7"/>
    </row>
    <row r="35" customFormat="false" ht="120" hidden="false" customHeight="true" outlineLevel="0" collapsed="false">
      <c r="A35" s="10" t="s">
        <v>235</v>
      </c>
      <c r="B35" s="10" t="s">
        <v>242</v>
      </c>
      <c r="C35" s="10" t="s">
        <v>243</v>
      </c>
      <c r="D35" s="10" t="s">
        <v>244</v>
      </c>
      <c r="E35" s="10" t="s">
        <v>245</v>
      </c>
      <c r="F35" s="10" t="s">
        <v>246</v>
      </c>
      <c r="G35" s="10" t="s">
        <v>24</v>
      </c>
      <c r="H35" s="10" t="s">
        <v>247</v>
      </c>
      <c r="I35" s="7"/>
      <c r="J35" s="7"/>
      <c r="K35" s="7"/>
      <c r="L35" s="7"/>
    </row>
    <row r="36" customFormat="false" ht="120" hidden="false" customHeight="true" outlineLevel="0" collapsed="false">
      <c r="A36" s="10" t="s">
        <v>235</v>
      </c>
      <c r="B36" s="10" t="s">
        <v>248</v>
      </c>
      <c r="C36" s="10" t="s">
        <v>168</v>
      </c>
      <c r="D36" s="10" t="s">
        <v>249</v>
      </c>
      <c r="E36" s="10" t="s">
        <v>250</v>
      </c>
      <c r="F36" s="10" t="s">
        <v>251</v>
      </c>
      <c r="G36" s="10" t="s">
        <v>20</v>
      </c>
      <c r="H36" s="10" t="s">
        <v>252</v>
      </c>
      <c r="I36" s="7"/>
      <c r="J36" s="7"/>
      <c r="K36" s="7"/>
      <c r="L36" s="7"/>
    </row>
    <row r="37" customFormat="false" ht="120" hidden="false" customHeight="true" outlineLevel="0" collapsed="false">
      <c r="A37" s="10" t="s">
        <v>235</v>
      </c>
      <c r="B37" s="10" t="s">
        <v>253</v>
      </c>
      <c r="C37" s="10" t="s">
        <v>254</v>
      </c>
      <c r="D37" s="10" t="s">
        <v>255</v>
      </c>
      <c r="E37" s="10" t="s">
        <v>256</v>
      </c>
      <c r="F37" s="10" t="s">
        <v>257</v>
      </c>
      <c r="G37" s="10" t="s">
        <v>18</v>
      </c>
      <c r="H37" s="10" t="s">
        <v>258</v>
      </c>
      <c r="I37" s="7"/>
      <c r="J37" s="7"/>
      <c r="K37" s="7"/>
      <c r="L37" s="7"/>
    </row>
    <row r="38" customFormat="false" ht="120" hidden="false" customHeight="true" outlineLevel="0" collapsed="false">
      <c r="A38" s="10" t="s">
        <v>235</v>
      </c>
      <c r="B38" s="10" t="s">
        <v>259</v>
      </c>
      <c r="C38" s="10" t="s">
        <v>260</v>
      </c>
      <c r="D38" s="10" t="s">
        <v>261</v>
      </c>
      <c r="E38" s="10" t="s">
        <v>262</v>
      </c>
      <c r="F38" s="10" t="s">
        <v>263</v>
      </c>
      <c r="G38" s="10" t="s">
        <v>20</v>
      </c>
      <c r="H38" s="10" t="s">
        <v>264</v>
      </c>
      <c r="I38" s="7"/>
      <c r="J38" s="7"/>
      <c r="K38" s="7"/>
      <c r="L38" s="7"/>
    </row>
    <row r="39" customFormat="false" ht="120" hidden="false" customHeight="true" outlineLevel="0" collapsed="false">
      <c r="A39" s="10" t="s">
        <v>235</v>
      </c>
      <c r="B39" s="10" t="s">
        <v>265</v>
      </c>
      <c r="C39" s="10" t="s">
        <v>266</v>
      </c>
      <c r="D39" s="10" t="s">
        <v>267</v>
      </c>
      <c r="E39" s="10" t="s">
        <v>268</v>
      </c>
      <c r="F39" s="10" t="s">
        <v>269</v>
      </c>
      <c r="G39" s="10" t="s">
        <v>28</v>
      </c>
      <c r="H39" s="10" t="s">
        <v>270</v>
      </c>
      <c r="I39" s="7"/>
      <c r="J39" s="7"/>
      <c r="K39" s="7"/>
      <c r="L39" s="7"/>
    </row>
    <row r="40" customFormat="false" ht="120" hidden="false" customHeight="true" outlineLevel="0" collapsed="false">
      <c r="A40" s="10" t="s">
        <v>235</v>
      </c>
      <c r="B40" s="10" t="s">
        <v>271</v>
      </c>
      <c r="C40" s="10" t="s">
        <v>272</v>
      </c>
      <c r="D40" s="10" t="s">
        <v>273</v>
      </c>
      <c r="E40" s="10" t="s">
        <v>274</v>
      </c>
      <c r="F40" s="10" t="s">
        <v>275</v>
      </c>
      <c r="G40" s="10" t="s">
        <v>16</v>
      </c>
      <c r="H40" s="10" t="s">
        <v>276</v>
      </c>
      <c r="I40" s="7"/>
      <c r="J40" s="7"/>
      <c r="K40" s="7"/>
      <c r="L40" s="7"/>
    </row>
    <row r="41" customFormat="false" ht="120" hidden="false" customHeight="true" outlineLevel="0" collapsed="false">
      <c r="A41" s="10" t="s">
        <v>235</v>
      </c>
      <c r="B41" s="10" t="s">
        <v>277</v>
      </c>
      <c r="C41" s="10" t="s">
        <v>168</v>
      </c>
      <c r="D41" s="10" t="s">
        <v>278</v>
      </c>
      <c r="E41" s="10" t="s">
        <v>279</v>
      </c>
      <c r="F41" s="10" t="s">
        <v>280</v>
      </c>
      <c r="G41" s="10" t="s">
        <v>20</v>
      </c>
      <c r="H41" s="10" t="s">
        <v>281</v>
      </c>
      <c r="I41" s="7"/>
      <c r="J41" s="7"/>
      <c r="K41" s="7"/>
      <c r="L41" s="7"/>
    </row>
    <row r="42" customFormat="false" ht="120" hidden="false" customHeight="true" outlineLevel="0" collapsed="false">
      <c r="A42" s="11" t="s">
        <v>282</v>
      </c>
      <c r="B42" s="11" t="s">
        <v>283</v>
      </c>
      <c r="C42" s="11" t="s">
        <v>237</v>
      </c>
      <c r="D42" s="11" t="s">
        <v>284</v>
      </c>
      <c r="E42" s="11" t="s">
        <v>285</v>
      </c>
      <c r="F42" s="11" t="s">
        <v>286</v>
      </c>
      <c r="G42" s="11" t="s">
        <v>16</v>
      </c>
      <c r="H42" s="11" t="s">
        <v>287</v>
      </c>
      <c r="I42" s="7"/>
      <c r="J42" s="7"/>
      <c r="K42" s="7"/>
      <c r="L42" s="7"/>
    </row>
    <row r="43" customFormat="false" ht="120" hidden="false" customHeight="true" outlineLevel="0" collapsed="false">
      <c r="A43" s="11" t="s">
        <v>282</v>
      </c>
      <c r="B43" s="11" t="s">
        <v>288</v>
      </c>
      <c r="C43" s="11" t="s">
        <v>237</v>
      </c>
      <c r="D43" s="11" t="s">
        <v>289</v>
      </c>
      <c r="E43" s="11" t="s">
        <v>290</v>
      </c>
      <c r="F43" s="11" t="s">
        <v>291</v>
      </c>
      <c r="G43" s="11" t="s">
        <v>16</v>
      </c>
      <c r="H43" s="11" t="s">
        <v>292</v>
      </c>
      <c r="I43" s="7"/>
      <c r="J43" s="7"/>
      <c r="K43" s="7"/>
      <c r="L43" s="7"/>
    </row>
    <row r="44" customFormat="false" ht="120" hidden="false" customHeight="true" outlineLevel="0" collapsed="false">
      <c r="A44" s="11" t="s">
        <v>282</v>
      </c>
      <c r="B44" s="11" t="s">
        <v>293</v>
      </c>
      <c r="C44" s="11" t="s">
        <v>294</v>
      </c>
      <c r="D44" s="11" t="s">
        <v>295</v>
      </c>
      <c r="E44" s="11" t="s">
        <v>296</v>
      </c>
      <c r="F44" s="11" t="s">
        <v>297</v>
      </c>
      <c r="G44" s="11" t="s">
        <v>16</v>
      </c>
      <c r="H44" s="11" t="s">
        <v>298</v>
      </c>
      <c r="I44" s="7"/>
      <c r="J44" s="7"/>
      <c r="K44" s="7"/>
      <c r="L44" s="7"/>
    </row>
    <row r="45" customFormat="false" ht="120" hidden="false" customHeight="true" outlineLevel="0" collapsed="false">
      <c r="A45" s="11" t="s">
        <v>282</v>
      </c>
      <c r="B45" s="11" t="s">
        <v>299</v>
      </c>
      <c r="C45" s="11" t="s">
        <v>294</v>
      </c>
      <c r="D45" s="11" t="s">
        <v>300</v>
      </c>
      <c r="E45" s="11" t="s">
        <v>301</v>
      </c>
      <c r="F45" s="11" t="s">
        <v>302</v>
      </c>
      <c r="G45" s="11" t="s">
        <v>16</v>
      </c>
      <c r="H45" s="11" t="s">
        <v>303</v>
      </c>
      <c r="I45" s="7"/>
      <c r="J45" s="7"/>
      <c r="K45" s="7"/>
      <c r="L45" s="7"/>
    </row>
    <row r="46" customFormat="false" ht="120" hidden="false" customHeight="true" outlineLevel="0" collapsed="false">
      <c r="A46" s="11" t="s">
        <v>282</v>
      </c>
      <c r="B46" s="11" t="s">
        <v>304</v>
      </c>
      <c r="C46" s="11" t="s">
        <v>305</v>
      </c>
      <c r="D46" s="11" t="s">
        <v>306</v>
      </c>
      <c r="E46" s="11" t="s">
        <v>307</v>
      </c>
      <c r="F46" s="11" t="s">
        <v>308</v>
      </c>
      <c r="G46" s="11" t="s">
        <v>16</v>
      </c>
      <c r="H46" s="11" t="s">
        <v>309</v>
      </c>
      <c r="I46" s="7"/>
      <c r="J46" s="7"/>
      <c r="K46" s="7"/>
      <c r="L46" s="7"/>
    </row>
    <row r="47" customFormat="false" ht="120" hidden="false" customHeight="true" outlineLevel="0" collapsed="false">
      <c r="A47" s="11" t="s">
        <v>282</v>
      </c>
      <c r="B47" s="11" t="s">
        <v>310</v>
      </c>
      <c r="C47" s="11" t="s">
        <v>311</v>
      </c>
      <c r="D47" s="11" t="s">
        <v>312</v>
      </c>
      <c r="E47" s="11" t="s">
        <v>313</v>
      </c>
      <c r="F47" s="11" t="s">
        <v>314</v>
      </c>
      <c r="G47" s="11" t="s">
        <v>16</v>
      </c>
      <c r="H47" s="11" t="s">
        <v>315</v>
      </c>
      <c r="I47" s="7"/>
      <c r="J47" s="7"/>
      <c r="K47" s="7"/>
      <c r="L47" s="7"/>
    </row>
    <row r="48" customFormat="false" ht="120" hidden="false" customHeight="true" outlineLevel="0" collapsed="false">
      <c r="A48" s="11" t="s">
        <v>282</v>
      </c>
      <c r="B48" s="11" t="s">
        <v>316</v>
      </c>
      <c r="C48" s="11" t="s">
        <v>57</v>
      </c>
      <c r="D48" s="11" t="s">
        <v>317</v>
      </c>
      <c r="E48" s="11" t="s">
        <v>318</v>
      </c>
      <c r="F48" s="11" t="s">
        <v>319</v>
      </c>
      <c r="G48" s="11" t="s">
        <v>16</v>
      </c>
      <c r="H48" s="11" t="s">
        <v>320</v>
      </c>
      <c r="I48" s="7"/>
      <c r="J48" s="7"/>
      <c r="K48" s="7"/>
      <c r="L48" s="7"/>
    </row>
    <row r="49" customFormat="false" ht="120" hidden="false" customHeight="true" outlineLevel="0" collapsed="false">
      <c r="A49" s="11" t="s">
        <v>282</v>
      </c>
      <c r="B49" s="11" t="s">
        <v>321</v>
      </c>
      <c r="C49" s="11" t="s">
        <v>322</v>
      </c>
      <c r="D49" s="11" t="s">
        <v>323</v>
      </c>
      <c r="E49" s="11" t="s">
        <v>324</v>
      </c>
      <c r="F49" s="11" t="s">
        <v>325</v>
      </c>
      <c r="G49" s="11" t="s">
        <v>22</v>
      </c>
      <c r="H49" s="11" t="s">
        <v>326</v>
      </c>
      <c r="I49" s="7"/>
      <c r="J49" s="7"/>
      <c r="K49" s="7"/>
      <c r="L49" s="7"/>
    </row>
    <row r="50" customFormat="false" ht="120" hidden="false" customHeight="true" outlineLevel="0" collapsed="false">
      <c r="A50" s="11" t="s">
        <v>282</v>
      </c>
      <c r="B50" s="11" t="s">
        <v>327</v>
      </c>
      <c r="C50" s="11" t="s">
        <v>328</v>
      </c>
      <c r="D50" s="11" t="s">
        <v>329</v>
      </c>
      <c r="E50" s="11" t="s">
        <v>330</v>
      </c>
      <c r="F50" s="11" t="s">
        <v>331</v>
      </c>
      <c r="G50" s="11" t="s">
        <v>18</v>
      </c>
      <c r="H50" s="11" t="s">
        <v>332</v>
      </c>
      <c r="I50" s="7"/>
      <c r="J50" s="7"/>
      <c r="K50" s="7"/>
      <c r="L50" s="7"/>
    </row>
    <row r="51" customFormat="false" ht="120" hidden="false" customHeight="true" outlineLevel="0" collapsed="false">
      <c r="A51" s="11" t="s">
        <v>282</v>
      </c>
      <c r="B51" s="11" t="s">
        <v>333</v>
      </c>
      <c r="C51" s="11" t="s">
        <v>57</v>
      </c>
      <c r="D51" s="11" t="s">
        <v>334</v>
      </c>
      <c r="E51" s="11" t="s">
        <v>335</v>
      </c>
      <c r="F51" s="11" t="s">
        <v>336</v>
      </c>
      <c r="G51" s="11" t="s">
        <v>16</v>
      </c>
      <c r="H51" s="11" t="s">
        <v>337</v>
      </c>
      <c r="I51" s="7"/>
      <c r="J51" s="7"/>
      <c r="K51" s="7"/>
      <c r="L51" s="7"/>
    </row>
  </sheetData>
  <autoFilter ref="A1:L51"/>
  <dataValidations count="1">
    <dataValidation allowBlank="true" error="Pick one of: Confirmed, Needs correction, Unsure, N/A" errorStyle="stop" operator="between" prompt="Confirmed / Needs correction / Unsure / N/A" showDropDown="false" showErrorMessage="false" showInputMessage="false" sqref="I2:I51" type="list">
      <formula1>"Confirmed,Needs correction,Unsure,N/A"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LibreOffice/25.8.4.2$MacOSX_AARCH64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2026-08-26T14:42:42Z</dcterms:created>
  <dc:creator>openpyxl</dc:creator>
  <dc:description/>
  <dc:language>en-US</dc:language>
  <cp:lastModifiedBy/>
  <dcterms:modified xsi:type="dcterms:W3CDTF">2026-08-26T14:42:42Z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