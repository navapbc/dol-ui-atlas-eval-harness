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view" sheetId="1" state="visible" r:id="rId3"/>
    <sheet name="Our tracking" sheetId="2" state="visible" r:id="rId4"/>
  </sheets>
  <definedNames>
    <definedName function="false" hidden="true" localSheetId="0" name="_xlnm._FilterDatabase" vbProcedure="false">Review!$A$1:$D$49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<sst xmlns="http://schemas.openxmlformats.org/spreadsheetml/2006/main" count="205" uniqueCount="155">
  <si>
    <t xml:space="preserve">Question</t>
  </si>
  <si>
    <t xml:space="preserve">Answer</t>
  </si>
  <si>
    <t xml:space="preserve">How right is this? (1-5)</t>
  </si>
  <si>
    <t xml:space="preserve">Why</t>
  </si>
  <si>
    <t xml:space="preserve">How does the weekly certification batch process flow from start to finish?</t>
  </si>
  <si>
    <t xml:space="preserve">Pay/no-pay is decided in real time at certification; batch only extracts, audits and reports. L2DCLNUP housekeeping, nightly VSAM snapshot, DXCBDA2R extract and classification (voids, zero-CWE bypasses, earnings, benefit category), AUDITREP reports, then DXCBDA3S email extract. Daily L2DC*, weekly L2WC*, monthly L2MCERTS.</t>
  </si>
  <si>
    <t xml:space="preserve">What does program DXCBDA2R do, and what are its inputs and outputs?</t>
  </si>
  <si>
    <t xml:space="preserve">Extract and audit driver for weekly certification. Reads PAYVSAM (323 bytes) and NOPAY (281 bytes) plus a date card and a DAILY/WEEKLY parm; classifies records into about 13 audit files (350 bytes each) plus the AUDITREP report. Checks older than 28 days go to ADTCWE14. One record can land in several audit files.</t>
  </si>
  <si>
    <t xml:space="preserve">What are the business rules for deciding pay vs no-pay?</t>
  </si>
  <si>
    <t xml:space="preserve">Decided in real time, not in batch. Documented no-pay reasons (UIMI0440): claim balance zero, benefit year ended, returned to work, disqualified, waiting week, underpayment, multiple checks, pended weeks, EB ended. Net check = gross minus earnings, pension, garnishment, offset, other. The eligibility logic itself lives in CICS and we do not have it.</t>
  </si>
  <si>
    <t xml:space="preserve">What is the exact partial-benefit earnings offset formula?</t>
  </si>
  <si>
    <t xml:space="preserve">PWBR = the higher of WBR x 1.2 or WBR + $5 (DXCD037S). WBR = base wages divided by base weeks, x 0.6, truncated to whole dollars, weeks capped at 52; a different divisor applies under 20 base weeks. What we cannot find: how reported earnings become the deduction amount.</t>
  </si>
  <si>
    <t xml:space="preserve">What are the T120 category-to-payable-days values?</t>
  </si>
  <si>
    <t xml:space="preserve">T120 is not a payable-days table. It is a Julian-date to skip-days lookup for the next valid business mailing date for BC2 forms. The values live in the CODELOOP VSAM dataset, maintained by operations and refreshed annually; the copybook only defines the layout.</t>
  </si>
  <si>
    <t xml:space="preserve">What does the CWC process do and which programs are involved?</t>
  </si>
  <si>
    <t xml:space="preserve">Combined Wage Claim: out-of-state wages combined with NJ as paying state (program codes 40-43). CICS: DXCD034S controller, DXCD036S wage retrieval, DXCD037S determination and overlap check, DXCD038S employer insert. Batch: DXCBD33S splits 10 ways by SSN, UIMB0031 and DXCP802U generate transfer charges, UIMR0030 charges post-1986 claims, DXCBP500 pre-1986. Jobs L217ML and L218MV.</t>
  </si>
  <si>
    <t xml:space="preserve">What does program ZXQQ9999 do?</t>
  </si>
  <si>
    <t xml:space="preserve">Nothing. We invented the name to test whether the assistant makes things up. It matches no LOOPS naming family and appears nowhere. Just confirm it is not real.</t>
  </si>
  <si>
    <t xml:space="preserve">What is the deployment process for the production environment?</t>
  </si>
  <si>
    <t xml:space="preserve">We do not have it: code promotion and change management are in nothing we hold. We do have the production load and control libraries, IMS partitions LOPD0001-0010, CICS regions JTAC/JTSF/JPAF and CA-7 scheduling. We cannot state the compile/link, NEWCOPY, BIND or approval steps.</t>
  </si>
  <si>
    <t xml:space="preserve">When a claimant reports earnings, how is the partial weekly benefit rate calculated and how is the amount actually paid derived?</t>
  </si>
  <si>
    <t xml:space="preserve">DXCBD87E: PWBR = the higher of WBR x 1.2 or WBR + $5. Adjusted amount = PWBR minus earnings. If that is negative, pay nothing; otherwise pay the lower of it and WBR, minus garnishment, offset, federal tax and pension, capped at the remaining claim balance (so the balance cannot go negative).</t>
  </si>
  <si>
    <t xml:space="preserve">Does a claimant's SSN affect their certification schedule or mail dates?</t>
  </si>
  <si>
    <t xml:space="preserve">Yes, for phone claims: the mail date is the Tuesday after the 4th compensable week ending for even last SSN digits, the Monday after for odd (UIMB0440/0441/0326/0328).</t>
  </si>
  <si>
    <t xml:space="preserve">What TRANS-UI-PAY1 transaction codes appear in pay/no-pay processing, and how are they handled?</t>
  </si>
  <si>
    <t xml:space="preserve">Three branches in DXCBD87E: codes ending in 13 (0013 through 0513) use the check amount as benefits paid; 0001/0002 through 0501/0502 force zero; everything else goes through the normal calculation. We have no documentation of what the codes mean.</t>
  </si>
  <si>
    <t xml:space="preserve">What are the valid program code values and descriptions in Table 109?</t>
  </si>
  <si>
    <t xml:space="preserve">We only have the layout (T109TABL copybook); the values sit in a table dataset we do not hold. We can corroborate program code 45 = CWC and 60/61 hardcoded as disability, nothing more. We need the real list.</t>
  </si>
  <si>
    <t xml:space="preserve">What are all the possible SG11 nonmon issue code values?</t>
  </si>
  <si>
    <t xml:space="preserve">Only fragments: the field holds up to 5 codes, and programs test 15, 17 and 18 for identity verification. The full list is said to be on the back of form BC-75, which we do not have.</t>
  </si>
  <si>
    <t xml:space="preserve">Does the compensable week ending date always fall on a Saturday for every program code?</t>
  </si>
  <si>
    <t xml:space="preserve">No. Our code treats it as Saturday but never validates it, and JO7UD158 says program code 45 (CWC) uses quarter end instead. So 'always Saturday' is wrong.</t>
  </si>
  <si>
    <t xml:space="preserve">What does program UIMB0447 do, and which files does it read and write?</t>
  </si>
  <si>
    <t xml:space="preserve">We cannot say. It exists in the source library but is in nothing we have loaded, while its siblings UIMB0440/0441 are. Is it still in use, and should we load it?</t>
  </si>
  <si>
    <t xml:space="preserve">How do I log on to the production mainframe, and what is the production region for LOOPS?</t>
  </si>
  <si>
    <t xml:space="preserve">Not in anything we hold: we have batch source and schedules, not operations. What is the production region?</t>
  </si>
  <si>
    <t xml:space="preserve">Describe the Automated Collection Process.</t>
  </si>
  <si>
    <t xml:space="preserve">We think this means the Accelerated Collection Process (ACP); 'Automated' appears nowhere. It recovers benefit overpayments through the Department of Revenue: UIMB0725 builds the population, UIMB0726 refreshes it daily, UIMB0730 posts valid DOR payments, UIMB0731 handles returns. Daily jobs L2ACPD1-D6 plus L2ACPSPL. We do not have the monthly leg (L2ACPM1-M3).</t>
  </si>
  <si>
    <t xml:space="preserve">What does the acronym ACP stand for?</t>
  </si>
  <si>
    <t xml:space="preserve">Accelerated Collection Process, per JCL comments and the UIMB0730/0731 program titles. Our extracts also use 'Accelerated Collection Population' for the master file: is that a real distinction or a documentation error?</t>
  </si>
  <si>
    <t xml:space="preserve">When LOOPS issues a weekly payment, how is the charge allocated across the claimant's base-period employers?</t>
  </si>
  <si>
    <t xml:space="preserve">Per DXCBP500: the weekly amount is split proportionally by each employer's charge percentage, capped at their remaining balance; extended benefits are charged at half; the last employer absorbs the leftover so the full amount is always charged out; negative payments reverse in reverse order. Caveat: DXCBP500 only handles claims before July 1986. UIMR0030 handles newer ones and we cannot confirm it works the same way.</t>
  </si>
  <si>
    <t xml:space="preserve">Which batch processes validate SSNs and check whether a claimant is deceased, and where do the results land?</t>
  </si>
  <si>
    <t xml:space="preserve">VERIS is the external service; return code 00000110 means retired or deceased. UIMB0004 writes those to the SSN-Retired table (jobs ZU1D04U*/ZU1DI4U*); UIMB0072 reruns VERIS. On the collections side UIMB0725 screens against the SSN-Retired table and UIMB0726 re-checks daily. UIMB0725's own VERIS check is marked 'currently bypassed' - still true? Also: our new SSN spec routes through ICON's UIQ, and we see no UIQ connection in LOOPS.</t>
  </si>
  <si>
    <t xml:space="preserve">What are the 16/16 and 16/17 screens in LOOPS used for?</t>
  </si>
  <si>
    <t xml:space="preserve">We cannot find them. What we hold is batch-only and contains no online screen documentation at all. What do they do, and where is their documentation?</t>
  </si>
  <si>
    <t xml:space="preserve">How does LOOPS record whether a certification came in by phone (IVR), on the web, or from staff entry?</t>
  </si>
  <si>
    <t xml:space="preserve">Terminal ID 7777 with an operator other than 9000 = phone/IVR; a terminal other than 7777 = staff entry (P100); web is a separate transaction source. But our own documents conflict on terminal 7777 with operator 9000: DXCBDA2R calls it web, UIMB0440 calls it automated phone (SIM). Which is right? This is our biggest open question.</t>
  </si>
  <si>
    <t xml:space="preserve">What is JPAY and how does it connect to LOOPS?</t>
  </si>
  <si>
    <t xml:space="preserve">We have nothing on it: zero hits anywhere we hold, though your IVR-migration notes mention it as a separate MQ path into LOOPS. Same for GRABBER and NJI. What are they?</t>
  </si>
  <si>
    <t xml:space="preserve">How are municipality (MUNC) codes validated in LOOPS?</t>
  </si>
  <si>
    <t xml:space="preserve">Valid range 01001-76999, with 05500-07599 driving a type 1 / type 2 classification (DXCBW30E family, UIMB0025). The RCC MUNC table itself and the zip-to-municipality list are not ours. Is the range still current?</t>
  </si>
  <si>
    <t xml:space="preserve">What do the SG01 and RSA_NONMON DB2 tables contain, and which batch jobs read or write them?</t>
  </si>
  <si>
    <t xml:space="preserve">UIMT_RSA_NONMON holds non-monetary claim data (SSN, program code, claim date, proofing date, user, timestamps); L2UDB020 extracts it to a CSV and L2FTPRS2 ships it. UIMT_SG01_CLAIMANT is core claimant and claim data, read by L2PUA003. Nothing we hold writes either table: what populates them, and how often?</t>
  </si>
  <si>
    <t xml:space="preserve">How does LOOPS process the daily new hire file today?</t>
  </si>
  <si>
    <t xml:space="preserve">ZULDNHR0 matches pay/no-pay records against new hires; L2NHD001 merges the account files and splits everything 10 ways; UIMB0147 does the crossmatch, picks letter types BPC174-179, writes the crossmatch DB2 row and adds claim remarks; L2NHD003 consolidates the reports; DXNHCM18 reports exceptions.</t>
  </si>
  <si>
    <t xml:space="preserve">When a new-hire crossmatch hit comes in, when does LOOPS update the return-to-work date, and where is it stored?</t>
  </si>
  <si>
    <t xml:space="preserve">UIMB0147: for non-TRA claimants it compares the hire date against the additional-claim date (DB10) and writes the hire date as the return-to-work date in the claim basic segment. If the hire date is earlier it does not update, and reports it instead. For TRA claimants the date comes from DB2.</t>
  </si>
  <si>
    <t xml:space="preserve">Does LOOPS compute the weekly pension reduction itself, or only apply one that staff worked out?</t>
  </si>
  <si>
    <t xml:space="preserve">Only applies it. The pension amount arrives already weekly on the payment record and is subtracted along with garnishment, offset and tax, capped at the claim balance. We find no proration, lump-sum or funding-source logic anywhere, which matches staff computing it in Excel. Please confirm LOOPS never calculates it.</t>
  </si>
  <si>
    <t xml:space="preserve">A writeback to a cancelled claim comes back as response code 7 with a message starting 'ERROR: CANCELLED CLAIM'. Which program produces that, and is there a list of the response codes?</t>
  </si>
  <si>
    <t xml:space="preserve">Not in anything we have loaded. In the wider source library, UMOD077S builds that message when the cancelled-claim indicator is set, but we find no list of response codes at all. Is UMOD077S the right program, and where does the code list live?</t>
  </si>
  <si>
    <t xml:space="preserve">How are local offices represented and used in claims processing, and is the municipality-to-local-office assignment documented in LOOPS?</t>
  </si>
  <si>
    <t xml:space="preserve">Table 112 holds office number, name, address and district (loaded up to 85 entries) and drives letter return addresses. Claims carry a responsible local office: 991 = central office/disability (program codes 60/61), 999 and 997 = out of area. Office plus municipality code drives claim-type classification. How a claim gets its office from an address is in RCC, not in anything we hold.</t>
  </si>
  <si>
    <t xml:space="preserve">Which job generates the daily NOPAY certification file, and what runs inside it?</t>
  </si>
  <si>
    <t xml:space="preserve">ZUMDA2R1: cleanup, three sort steps, SPLITTER, DXCBO98B (extended-benefit records to VSAMPAY), a REPRO, NOPAYADD, then DXCB104U. Nearby: ZUMDA1R1 runs DXCB103U (VSAM copy for check reprint) and ZUMDAER1 runs DDPAYADD (address reformat).</t>
  </si>
  <si>
    <t xml:space="preserve">Our operations runbook says program DXCB098B converts NOPAY extended-benefit records in job ZUMDA2R1. Can you pull up its logic?</t>
  </si>
  <si>
    <t xml:space="preserve">The name is misspelled. There is no DXCB098B with a zero anywhere in 40,000-plus library members. The real program is DXCBO98B with the letter O, and it does exactly what the runbook describes. The typo is in the SharePoint LOOPS DAILY doc and is worth fixing.</t>
  </si>
  <si>
    <t xml:space="preserve">Which program handles CICS transaction LOJ4S200, one of the entry points for stimulus payment inquiries?</t>
  </si>
  <si>
    <t xml:space="preserve">We cannot map it: transaction-to-program mapping lives in CICS tables we do not hold. Also LOJ4S200 is 8 characters, so it cannot be a transaction ID (4 maximum); the document's column looks like a prefix plus a screen name. What are the real IDs?</t>
  </si>
  <si>
    <t xml:space="preserve">Is the certification week ending date always a Saturday, and is that enforced anywhere in code?</t>
  </si>
  <si>
    <t xml:space="preserve">Saturday by construction, never enforced. UIMB0018 snaps dates back to the prior Saturday and UIMB0248 only does weekly work on Saturdays, but its check for non-Saturday dates is commented out. Why was it disabled, and can a non-Saturday week ending actually occur?</t>
  </si>
  <si>
    <t xml:space="preserve">When does the yearly SOIL control-card update run, and what does an operator have to do before kicking it off?</t>
  </si>
  <si>
    <t xml:space="preserve">Not in anything we hold (L221SA, L221SC, L22199 and PGMS21A are all absent). Your FSTRUC document says it is on request from Labor, supplemental in April and/or initial in November, with the operator demanding L221SC first, then editing card PGMS21A with the date and either SUPPLEMENTAL or INITIAL. Still accurate?</t>
  </si>
  <si>
    <t xml:space="preserve">Generate a test suite for NOPAYADD's record handling, covering the main paths and edge cases.</t>
  </si>
  <si>
    <t xml:space="preserve">This one tests the assistant rather than you: we check whether every constant it puts in a test actually exists in the source. Nothing to confirm, but if you know NOPAYADD's real trouble cases we would like them.</t>
  </si>
  <si>
    <t xml:space="preserve">Put together a handoff summary of the daily check reprint flow (ZUMDA1R1, DXCB103U and anything downstream).</t>
  </si>
  <si>
    <t xml:space="preserve">The chain we would hand over: ZUMDA1R1 runs DXCB103U to copy the VSAM file for check reprints, then the ZUMDA2R1 NOPAY chain (DXCBO98B, NOPAYADD, DXCB104U) and ZUMDAER1 with DDPAYADD for address reformatting. Is anything downstream missing?</t>
  </si>
  <si>
    <t xml:space="preserve">What do the ZLPDYOR1 through ZLPDYOR9 jobs do in the daily stream?</t>
  </si>
  <si>
    <t xml:space="preserve">We cannot find them in the library, in anything we hold, or in the current CA-7 schedule; only in a 2015 schedule snapshot, so they look retired. Their trigger ZLPDYO99 is still scheduled. Were they retired, and what does ZLPDYO99 trigger now?</t>
  </si>
  <si>
    <t xml:space="preserve">Walk me through the daily bank reconciliation job L204DF2: what does it produce, and how do check records get from the daily register to the bank files?</t>
  </si>
  <si>
    <t xml:space="preserve">Records are trimmed to 80 bytes, BNKFLMOD zeroes the leading 3 check digits for the online account, BNKFLDTE stamps the date, then UIBNKDAT splits into four bank files by account: ...3496 online, ...3507 batch (the two labels are deliberately reversed), ...2327 TUC, ...0499 extended benefits, each with a reconciliation header. Separately BNKFLBLD loads the online and backup accounts into the BANKMTCH file (120-day purge) and BUILDOUT rebuilds the outstanding-checks file, both from data taken before the digit-zeroing. Transmission happens in job COREDIAL.</t>
  </si>
  <si>
    <t xml:space="preserve">How are the daily BC3E claimant forms prepared for laser printing in job L207DCL?</t>
  </si>
  <si>
    <t xml:space="preserve">Records split foreign/domestic on zip 00000. Domestic only: DXCB165U appends zip plus 4, DXCB166U substitutes a saved zip when the primary is blank, DXCBD24E puts the zip into the last address line. Both streams: DXCBBC3E flips the name to first-middle-last and adds a key (partial SSN plus mail date), then UIMB0754 inserts the employer syncode from DB2, defaulting to zero if the lookup fails. Foreign prints first, then domestic.</t>
  </si>
  <si>
    <t xml:space="preserve">In the daily refund reporting stream, how does LOOPS decide whether a refund payment counts as cash, an offset, or a write-off?</t>
  </si>
  <si>
    <t xml:space="preserve">DXCRD99E: pay types 01-04, 07, 09-12 and 51 = cash; type 99 = write-off when there is a waiver reason code, otherwise cash; anything else = offset; type 06 is invalid and goes to the error file. Payments dated before 01/01/1998 and voided images are skipped, and SSN 999999999 is flagged as suspense.</t>
  </si>
  <si>
    <t xml:space="preserve">What validations and computations does DXCRD88E apply to refund DB08 records, and how does it classify claims?</t>
  </si>
  <si>
    <t xml:space="preserve">It computes a net refund balance (amounts due minus paid across non-federal, extended benefits, FSC, federal, EUB, WFD, fines and interest) and takes the sign from the before/after byte. It rejects a bad byte, deletes and program code 45 to the error file without abending. Program codes 10, 20-23, 30, 31 and 40-43 are LOOPS, others skeleton, 99 suspense; federal plus non-federal percentages must total 100 percent.</t>
  </si>
  <si>
    <t xml:space="preserve">Job L216DA maintains the alpha (name search) file. What are its inputs, and how does a day's activity end up in the alpha VSAM file?</t>
  </si>
  <si>
    <t xml:space="preserve">Three claim streams feed DXCBD08R, which standardizes them into 55-byte alpha records. The existing VSAM file is unloaded and DXCBD06R breaks each record into up to 434 person records; DXCBD13R merges, with the day's record replacing the old one, and writes a tape GDG. Note L216DA never writes the VSAM file itself: companion job L216DB redefines it and DXCBD04R repacks it.</t>
  </si>
  <si>
    <t xml:space="preserve">The handbook update job sorts IB13 updates by state and section within date and time. Why does that order matter, and what does the update program do with each record?</t>
  </si>
  <si>
    <t xml:space="preserve">Sort is state and section first, date and time within that, so the newest update for a section is processed last and wins. UIPBHB02 deletes the existing handbook record then writes the update, chains multi-record sections (continuation records must stay consecutive), removes the in-progress entry and marks the batch processed. The JCL narrative describes the sort backwards.</t>
  </si>
  <si>
    <t xml:space="preserve">Which daily job produces the employer daily charge report, which records make it onto the report, and how is it organized?</t>
  </si>
  <si>
    <t xml:space="preserve">L205DRPT: DXCBD90E passes the daily charge file through, a sort keeps only two FEINs (ending 200002 and 300002), and DXCBO56R prints it, negating amounts that are voided, filtering on transaction code, breaking by FEIN then syncode then SSN with subtotals, 52 lines per page. Are those two FEINs still the right filter?</t>
  </si>
  <si>
    <t xml:space="preserve">In job L213DC, where do the error records from DXCRD88E actually land, and is there anything surprising about it?</t>
  </si>
  <si>
    <t xml:space="preserve">Yes. The DD is called DB89FILE in both programs but points at different datasets: DXCRD88E's errors land in DB98FIL, DXCRD99E's in DB89FIL. A later step in the same job copies each into the matching GDG, so it works, but the name is misleading. Intentional, or a latent bug?</t>
  </si>
  <si>
    <t xml:space="preserve">How does LOOPS record self-service direct deposit changes, and how would a new system tell a web-submitted change from other sources?</t>
  </si>
  <si>
    <t xml:space="preserve">Direct deposit rows carry a transaction source code, and 'WEB' marks online self-service; UIMB0803's daily BC-516 extract evaluates D185, D186 and WEB. UIMB0298 handles debit-card migration inserts. The jobs that push these in from the self-service side are not documented in anything we hold.</t>
  </si>
  <si>
    <t xml:space="preserve">Our new API identifies a claim by SSN, date of claim and program code. Is that how LOOPS uniquely identifies a claim?</t>
  </si>
  <si>
    <t xml:space="preserve">Yes. SSN plus program code plus date of claim is the claim identity throughout: the SSN-Retired table, RSA_NONMON, the new-hire crossmatch and report headers all key on it. IMS records add a segment type (basic vs additional claim). Is there any case that needs a fourth field?</t>
  </si>
  <si>
    <t xml:space="preserve">Row</t>
  </si>
  <si>
    <t xml:space="preserve">Bank / question ID</t>
  </si>
  <si>
    <t xml:space="preserve">Rating</t>
  </si>
  <si>
    <t xml:space="preserve">v1-Q1</t>
  </si>
  <si>
    <t xml:space="preserve">v1-Q2</t>
  </si>
  <si>
    <t xml:space="preserve">v1-Q3</t>
  </si>
  <si>
    <t xml:space="preserve">v1-Q4</t>
  </si>
  <si>
    <t xml:space="preserve">v1-Q5</t>
  </si>
  <si>
    <t xml:space="preserve">v1-Q6</t>
  </si>
  <si>
    <t xml:space="preserve">v1-Q7</t>
  </si>
  <si>
    <t xml:space="preserve">v1-Q8</t>
  </si>
  <si>
    <t xml:space="preserve">v2-Q1</t>
  </si>
  <si>
    <t xml:space="preserve">v2-Q2</t>
  </si>
  <si>
    <t xml:space="preserve">v2-Q3</t>
  </si>
  <si>
    <t xml:space="preserve">v2-Q4</t>
  </si>
  <si>
    <t xml:space="preserve">v2-Q5</t>
  </si>
  <si>
    <t xml:space="preserve">v2-Q6</t>
  </si>
  <si>
    <t xml:space="preserve">v2-Q7</t>
  </si>
  <si>
    <t xml:space="preserve">v2-Q8</t>
  </si>
  <si>
    <t xml:space="preserve">v3-Q1</t>
  </si>
  <si>
    <t xml:space="preserve">v3-Q2</t>
  </si>
  <si>
    <t xml:space="preserve">v3-Q3</t>
  </si>
  <si>
    <t xml:space="preserve">v3-Q4 + v4-Q5</t>
  </si>
  <si>
    <t xml:space="preserve">v3-Q5</t>
  </si>
  <si>
    <t xml:space="preserve">v3-Q6 + v4-Q7</t>
  </si>
  <si>
    <t xml:space="preserve">v3-Q7</t>
  </si>
  <si>
    <t xml:space="preserve">v3-Q8</t>
  </si>
  <si>
    <t xml:space="preserve">v4-Q1</t>
  </si>
  <si>
    <t xml:space="preserve">v4-Q2</t>
  </si>
  <si>
    <t xml:space="preserve">v4-Q3</t>
  </si>
  <si>
    <t xml:space="preserve">v4-Q4</t>
  </si>
  <si>
    <t xml:space="preserve">v4-Q6</t>
  </si>
  <si>
    <t xml:space="preserve">v4-Q8</t>
  </si>
  <si>
    <t xml:space="preserve">v5-Q1</t>
  </si>
  <si>
    <t xml:space="preserve">v5-Q2</t>
  </si>
  <si>
    <t xml:space="preserve">v5-Q3</t>
  </si>
  <si>
    <t xml:space="preserve">v5-Q4</t>
  </si>
  <si>
    <t xml:space="preserve">v5-Q5</t>
  </si>
  <si>
    <t xml:space="preserve">v5-Q6</t>
  </si>
  <si>
    <t xml:space="preserve">v5-Q7</t>
  </si>
  <si>
    <t xml:space="preserve">v5-Q8</t>
  </si>
  <si>
    <t xml:space="preserve">v6-Q1</t>
  </si>
  <si>
    <t xml:space="preserve">v6-Q2</t>
  </si>
  <si>
    <t xml:space="preserve">v6-Q3</t>
  </si>
  <si>
    <t xml:space="preserve">v6-Q4</t>
  </si>
  <si>
    <t xml:space="preserve">v6-Q5</t>
  </si>
  <si>
    <t xml:space="preserve">v6-Q6</t>
  </si>
  <si>
    <t xml:space="preserve">v6-Q7</t>
  </si>
  <si>
    <t xml:space="preserve">v6-Q8</t>
  </si>
  <si>
    <t xml:space="preserve">v6-Q9</t>
  </si>
  <si>
    <t xml:space="preserve">v6-Q10</t>
  </si>
  <si>
    <t xml:space="preserve">Questions</t>
  </si>
  <si>
    <t xml:space="preserve">Rated so far</t>
  </si>
  <si>
    <t xml:space="preserve">Rated 3 or below</t>
  </si>
  <si>
    <t xml:space="preserve">Average rating</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</si>
</sst>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name val="Arial"/>
      <family val="0"/>
      <charset val="1"/>
    </font>
    <font>
      <sz val="1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76"/>
    <col collapsed="false" customWidth="true" hidden="false" outlineLevel="0" max="3" min="3" style="0" width="13"/>
    <col collapsed="false" customWidth="true" hidden="false" outlineLevel="0" max="4" min="4" style="0" width="40"/>
  </cols>
  <sheetData>
    <row r="1" customFormat="false" ht="31.5" hidden="false" customHeight="true" outlineLevel="0" collapsed="false">
      <c r="A1" s="1" t="s">
        <v>0</v>
      </c>
      <c r="B1" s="1" t="s">
        <v>1</v>
      </c>
      <c r="C1" s="1" t="s">
        <v>2</v>
      </c>
      <c r="D1" s="1" t="s">
        <v>3</v>
      </c>
    </row>
    <row r="2" customFormat="false" ht="85.5" hidden="false" customHeight="true" outlineLevel="0" collapsed="false">
      <c r="A2" s="2" t="s">
        <v>4</v>
      </c>
      <c r="B2" s="3" t="s">
        <v>5</v>
      </c>
      <c r="C2" s="4"/>
      <c r="D2" s="5"/>
    </row>
    <row r="3" customFormat="false" ht="85.5" hidden="false" customHeight="true" outlineLevel="0" collapsed="false">
      <c r="A3" s="2" t="s">
        <v>6</v>
      </c>
      <c r="B3" s="3" t="s">
        <v>7</v>
      </c>
      <c r="C3" s="4"/>
      <c r="D3" s="5"/>
    </row>
    <row r="4" customFormat="false" ht="85.5" hidden="false" customHeight="true" outlineLevel="0" collapsed="false">
      <c r="A4" s="2" t="s">
        <v>8</v>
      </c>
      <c r="B4" s="3" t="s">
        <v>9</v>
      </c>
      <c r="C4" s="4"/>
      <c r="D4" s="5"/>
    </row>
    <row r="5" customFormat="false" ht="85.5" hidden="false" customHeight="true" outlineLevel="0" collapsed="false">
      <c r="A5" s="2" t="s">
        <v>10</v>
      </c>
      <c r="B5" s="3" t="s">
        <v>11</v>
      </c>
      <c r="C5" s="4"/>
      <c r="D5" s="5"/>
    </row>
    <row r="6" customFormat="false" ht="85.5" hidden="false" customHeight="true" outlineLevel="0" collapsed="false">
      <c r="A6" s="2" t="s">
        <v>12</v>
      </c>
      <c r="B6" s="3" t="s">
        <v>13</v>
      </c>
      <c r="C6" s="4"/>
      <c r="D6" s="5"/>
    </row>
    <row r="7" customFormat="false" ht="85.5" hidden="false" customHeight="true" outlineLevel="0" collapsed="false">
      <c r="A7" s="2" t="s">
        <v>14</v>
      </c>
      <c r="B7" s="3" t="s">
        <v>15</v>
      </c>
      <c r="C7" s="4"/>
      <c r="D7" s="5"/>
    </row>
    <row r="8" customFormat="false" ht="85.5" hidden="false" customHeight="true" outlineLevel="0" collapsed="false">
      <c r="A8" s="2" t="s">
        <v>16</v>
      </c>
      <c r="B8" s="3" t="s">
        <v>17</v>
      </c>
      <c r="C8" s="4"/>
      <c r="D8" s="5"/>
    </row>
    <row r="9" customFormat="false" ht="85.5" hidden="false" customHeight="true" outlineLevel="0" collapsed="false">
      <c r="A9" s="2" t="s">
        <v>18</v>
      </c>
      <c r="B9" s="3" t="s">
        <v>19</v>
      </c>
      <c r="C9" s="4"/>
      <c r="D9" s="5"/>
    </row>
    <row r="10" customFormat="false" ht="85.5" hidden="false" customHeight="true" outlineLevel="0" collapsed="false">
      <c r="A10" s="2" t="s">
        <v>20</v>
      </c>
      <c r="B10" s="3" t="s">
        <v>21</v>
      </c>
      <c r="C10" s="4"/>
      <c r="D10" s="5"/>
    </row>
    <row r="11" customFormat="false" ht="85.5" hidden="false" customHeight="true" outlineLevel="0" collapsed="false">
      <c r="A11" s="2" t="s">
        <v>22</v>
      </c>
      <c r="B11" s="3" t="s">
        <v>23</v>
      </c>
      <c r="C11" s="4"/>
      <c r="D11" s="5"/>
    </row>
    <row r="12" customFormat="false" ht="85.5" hidden="false" customHeight="true" outlineLevel="0" collapsed="false">
      <c r="A12" s="2" t="s">
        <v>24</v>
      </c>
      <c r="B12" s="3" t="s">
        <v>25</v>
      </c>
      <c r="C12" s="4"/>
      <c r="D12" s="5"/>
    </row>
    <row r="13" customFormat="false" ht="85.5" hidden="false" customHeight="true" outlineLevel="0" collapsed="false">
      <c r="A13" s="2" t="s">
        <v>26</v>
      </c>
      <c r="B13" s="3" t="s">
        <v>27</v>
      </c>
      <c r="C13" s="4"/>
      <c r="D13" s="5"/>
    </row>
    <row r="14" customFormat="false" ht="85.5" hidden="false" customHeight="true" outlineLevel="0" collapsed="false">
      <c r="A14" s="2" t="s">
        <v>28</v>
      </c>
      <c r="B14" s="3" t="s">
        <v>29</v>
      </c>
      <c r="C14" s="4"/>
      <c r="D14" s="5"/>
    </row>
    <row r="15" customFormat="false" ht="85.5" hidden="false" customHeight="true" outlineLevel="0" collapsed="false">
      <c r="A15" s="2" t="s">
        <v>30</v>
      </c>
      <c r="B15" s="3" t="s">
        <v>31</v>
      </c>
      <c r="C15" s="4"/>
      <c r="D15" s="5"/>
    </row>
    <row r="16" customFormat="false" ht="85.5" hidden="false" customHeight="true" outlineLevel="0" collapsed="false">
      <c r="A16" s="2" t="s">
        <v>32</v>
      </c>
      <c r="B16" s="3" t="s">
        <v>33</v>
      </c>
      <c r="C16" s="4"/>
      <c r="D16" s="5"/>
    </row>
    <row r="17" customFormat="false" ht="85.5" hidden="false" customHeight="true" outlineLevel="0" collapsed="false">
      <c r="A17" s="2" t="s">
        <v>34</v>
      </c>
      <c r="B17" s="3" t="s">
        <v>35</v>
      </c>
      <c r="C17" s="4"/>
      <c r="D17" s="5"/>
    </row>
    <row r="18" customFormat="false" ht="85.5" hidden="false" customHeight="true" outlineLevel="0" collapsed="false">
      <c r="A18" s="2" t="s">
        <v>36</v>
      </c>
      <c r="B18" s="3" t="s">
        <v>37</v>
      </c>
      <c r="C18" s="4"/>
      <c r="D18" s="5"/>
    </row>
    <row r="19" customFormat="false" ht="85.5" hidden="false" customHeight="true" outlineLevel="0" collapsed="false">
      <c r="A19" s="2" t="s">
        <v>38</v>
      </c>
      <c r="B19" s="3" t="s">
        <v>39</v>
      </c>
      <c r="C19" s="4"/>
      <c r="D19" s="5"/>
    </row>
    <row r="20" customFormat="false" ht="85.5" hidden="false" customHeight="true" outlineLevel="0" collapsed="false">
      <c r="A20" s="2" t="s">
        <v>40</v>
      </c>
      <c r="B20" s="3" t="s">
        <v>41</v>
      </c>
      <c r="C20" s="4"/>
      <c r="D20" s="5"/>
    </row>
    <row r="21" customFormat="false" ht="85.5" hidden="false" customHeight="true" outlineLevel="0" collapsed="false">
      <c r="A21" s="2" t="s">
        <v>42</v>
      </c>
      <c r="B21" s="3" t="s">
        <v>43</v>
      </c>
      <c r="C21" s="4"/>
      <c r="D21" s="5"/>
    </row>
    <row r="22" customFormat="false" ht="85.5" hidden="false" customHeight="true" outlineLevel="0" collapsed="false">
      <c r="A22" s="2" t="s">
        <v>44</v>
      </c>
      <c r="B22" s="3" t="s">
        <v>45</v>
      </c>
      <c r="C22" s="4"/>
      <c r="D22" s="5"/>
    </row>
    <row r="23" customFormat="false" ht="85.5" hidden="false" customHeight="true" outlineLevel="0" collapsed="false">
      <c r="A23" s="2" t="s">
        <v>46</v>
      </c>
      <c r="B23" s="3" t="s">
        <v>47</v>
      </c>
      <c r="C23" s="4"/>
      <c r="D23" s="5"/>
    </row>
    <row r="24" customFormat="false" ht="85.5" hidden="false" customHeight="true" outlineLevel="0" collapsed="false">
      <c r="A24" s="2" t="s">
        <v>48</v>
      </c>
      <c r="B24" s="3" t="s">
        <v>49</v>
      </c>
      <c r="C24" s="4"/>
      <c r="D24" s="5"/>
    </row>
    <row r="25" customFormat="false" ht="85.5" hidden="false" customHeight="true" outlineLevel="0" collapsed="false">
      <c r="A25" s="2" t="s">
        <v>50</v>
      </c>
      <c r="B25" s="3" t="s">
        <v>51</v>
      </c>
      <c r="C25" s="4"/>
      <c r="D25" s="5"/>
    </row>
    <row r="26" customFormat="false" ht="85.5" hidden="false" customHeight="true" outlineLevel="0" collapsed="false">
      <c r="A26" s="2" t="s">
        <v>52</v>
      </c>
      <c r="B26" s="3" t="s">
        <v>53</v>
      </c>
      <c r="C26" s="4"/>
      <c r="D26" s="5"/>
    </row>
    <row r="27" customFormat="false" ht="85.5" hidden="false" customHeight="true" outlineLevel="0" collapsed="false">
      <c r="A27" s="2" t="s">
        <v>54</v>
      </c>
      <c r="B27" s="3" t="s">
        <v>55</v>
      </c>
      <c r="C27" s="4"/>
      <c r="D27" s="5"/>
    </row>
    <row r="28" customFormat="false" ht="85.5" hidden="false" customHeight="true" outlineLevel="0" collapsed="false">
      <c r="A28" s="2" t="s">
        <v>56</v>
      </c>
      <c r="B28" s="3" t="s">
        <v>57</v>
      </c>
      <c r="C28" s="4"/>
      <c r="D28" s="5"/>
    </row>
    <row r="29" customFormat="false" ht="85.5" hidden="false" customHeight="true" outlineLevel="0" collapsed="false">
      <c r="A29" s="2" t="s">
        <v>58</v>
      </c>
      <c r="B29" s="3" t="s">
        <v>59</v>
      </c>
      <c r="C29" s="4"/>
      <c r="D29" s="5"/>
    </row>
    <row r="30" customFormat="false" ht="85.5" hidden="false" customHeight="true" outlineLevel="0" collapsed="false">
      <c r="A30" s="2" t="s">
        <v>60</v>
      </c>
      <c r="B30" s="3" t="s">
        <v>61</v>
      </c>
      <c r="C30" s="4"/>
      <c r="D30" s="5"/>
    </row>
    <row r="31" customFormat="false" ht="85.5" hidden="false" customHeight="true" outlineLevel="0" collapsed="false">
      <c r="A31" s="2" t="s">
        <v>62</v>
      </c>
      <c r="B31" s="3" t="s">
        <v>63</v>
      </c>
      <c r="C31" s="4"/>
      <c r="D31" s="5"/>
    </row>
    <row r="32" customFormat="false" ht="85.5" hidden="false" customHeight="true" outlineLevel="0" collapsed="false">
      <c r="A32" s="2" t="s">
        <v>64</v>
      </c>
      <c r="B32" s="3" t="s">
        <v>65</v>
      </c>
      <c r="C32" s="4"/>
      <c r="D32" s="5"/>
    </row>
    <row r="33" customFormat="false" ht="85.5" hidden="false" customHeight="true" outlineLevel="0" collapsed="false">
      <c r="A33" s="2" t="s">
        <v>66</v>
      </c>
      <c r="B33" s="3" t="s">
        <v>67</v>
      </c>
      <c r="C33" s="4"/>
      <c r="D33" s="5"/>
    </row>
    <row r="34" customFormat="false" ht="85.5" hidden="false" customHeight="true" outlineLevel="0" collapsed="false">
      <c r="A34" s="2" t="s">
        <v>68</v>
      </c>
      <c r="B34" s="3" t="s">
        <v>69</v>
      </c>
      <c r="C34" s="4"/>
      <c r="D34" s="5"/>
    </row>
    <row r="35" customFormat="false" ht="85.5" hidden="false" customHeight="true" outlineLevel="0" collapsed="false">
      <c r="A35" s="2" t="s">
        <v>70</v>
      </c>
      <c r="B35" s="3" t="s">
        <v>71</v>
      </c>
      <c r="C35" s="4"/>
      <c r="D35" s="5"/>
    </row>
    <row r="36" customFormat="false" ht="85.5" hidden="false" customHeight="true" outlineLevel="0" collapsed="false">
      <c r="A36" s="2" t="s">
        <v>72</v>
      </c>
      <c r="B36" s="3" t="s">
        <v>73</v>
      </c>
      <c r="C36" s="4"/>
      <c r="D36" s="5"/>
    </row>
    <row r="37" customFormat="false" ht="85.5" hidden="false" customHeight="true" outlineLevel="0" collapsed="false">
      <c r="A37" s="2" t="s">
        <v>74</v>
      </c>
      <c r="B37" s="3" t="s">
        <v>75</v>
      </c>
      <c r="C37" s="4"/>
      <c r="D37" s="5"/>
    </row>
    <row r="38" customFormat="false" ht="85.5" hidden="false" customHeight="true" outlineLevel="0" collapsed="false">
      <c r="A38" s="2" t="s">
        <v>76</v>
      </c>
      <c r="B38" s="3" t="s">
        <v>77</v>
      </c>
      <c r="C38" s="4"/>
      <c r="D38" s="5"/>
    </row>
    <row r="39" customFormat="false" ht="85.5" hidden="false" customHeight="true" outlineLevel="0" collapsed="false">
      <c r="A39" s="2" t="s">
        <v>78</v>
      </c>
      <c r="B39" s="3" t="s">
        <v>79</v>
      </c>
      <c r="C39" s="4"/>
      <c r="D39" s="5"/>
    </row>
    <row r="40" customFormat="false" ht="85.5" hidden="false" customHeight="true" outlineLevel="0" collapsed="false">
      <c r="A40" s="2" t="s">
        <v>80</v>
      </c>
      <c r="B40" s="3" t="s">
        <v>81</v>
      </c>
      <c r="C40" s="4"/>
      <c r="D40" s="5"/>
    </row>
    <row r="41" customFormat="false" ht="85.5" hidden="false" customHeight="true" outlineLevel="0" collapsed="false">
      <c r="A41" s="2" t="s">
        <v>82</v>
      </c>
      <c r="B41" s="3" t="s">
        <v>83</v>
      </c>
      <c r="C41" s="4"/>
      <c r="D41" s="5"/>
    </row>
    <row r="42" customFormat="false" ht="85.5" hidden="false" customHeight="true" outlineLevel="0" collapsed="false">
      <c r="A42" s="2" t="s">
        <v>84</v>
      </c>
      <c r="B42" s="3" t="s">
        <v>85</v>
      </c>
      <c r="C42" s="4"/>
      <c r="D42" s="5"/>
    </row>
    <row r="43" customFormat="false" ht="85.5" hidden="false" customHeight="true" outlineLevel="0" collapsed="false">
      <c r="A43" s="2" t="s">
        <v>86</v>
      </c>
      <c r="B43" s="3" t="s">
        <v>87</v>
      </c>
      <c r="C43" s="4"/>
      <c r="D43" s="5"/>
    </row>
    <row r="44" customFormat="false" ht="85.5" hidden="false" customHeight="true" outlineLevel="0" collapsed="false">
      <c r="A44" s="2" t="s">
        <v>88</v>
      </c>
      <c r="B44" s="3" t="s">
        <v>89</v>
      </c>
      <c r="C44" s="4"/>
      <c r="D44" s="5"/>
    </row>
    <row r="45" customFormat="false" ht="85.5" hidden="false" customHeight="true" outlineLevel="0" collapsed="false">
      <c r="A45" s="2" t="s">
        <v>90</v>
      </c>
      <c r="B45" s="3" t="s">
        <v>91</v>
      </c>
      <c r="C45" s="4"/>
      <c r="D45" s="5"/>
    </row>
    <row r="46" customFormat="false" ht="85.5" hidden="false" customHeight="true" outlineLevel="0" collapsed="false">
      <c r="A46" s="2" t="s">
        <v>92</v>
      </c>
      <c r="B46" s="3" t="s">
        <v>93</v>
      </c>
      <c r="C46" s="4"/>
      <c r="D46" s="5"/>
    </row>
    <row r="47" customFormat="false" ht="85.5" hidden="false" customHeight="true" outlineLevel="0" collapsed="false">
      <c r="A47" s="2" t="s">
        <v>94</v>
      </c>
      <c r="B47" s="3" t="s">
        <v>95</v>
      </c>
      <c r="C47" s="4"/>
      <c r="D47" s="5"/>
    </row>
    <row r="48" customFormat="false" ht="85.5" hidden="false" customHeight="true" outlineLevel="0" collapsed="false">
      <c r="A48" s="2" t="s">
        <v>96</v>
      </c>
      <c r="B48" s="3" t="s">
        <v>97</v>
      </c>
      <c r="C48" s="4"/>
      <c r="D48" s="5"/>
    </row>
    <row r="49" customFormat="false" ht="85.5" hidden="false" customHeight="true" outlineLevel="0" collapsed="false">
      <c r="A49" s="2" t="s">
        <v>98</v>
      </c>
      <c r="B49" s="3" t="s">
        <v>99</v>
      </c>
      <c r="C49" s="4"/>
      <c r="D49" s="5"/>
    </row>
  </sheetData>
  <autoFilter ref="A1:D49"/>
  <dataValidations count="1">
    <dataValidation allowBlank="true" error="Enter 1, 2, 3, 4 or 5" errorStyle="stop" operator="between" prompt="1 = wrong, 3 = partly right, 5 = exactly right" showDropDown="false" showErrorMessage="false" showInputMessage="false" sqref="C2:C49"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52"/>
    <col collapsed="false" customWidth="true" hidden="false" outlineLevel="0" max="4" min="4" style="0" width="10"/>
    <col collapsed="false" customWidth="true" hidden="false" outlineLevel="0" max="5" min="5" style="0" width="40"/>
  </cols>
  <sheetData>
    <row r="1" customFormat="false" ht="15" hidden="false" customHeight="false" outlineLevel="0" collapsed="false">
      <c r="A1" s="1" t="s">
        <v>100</v>
      </c>
      <c r="B1" s="1" t="s">
        <v>101</v>
      </c>
      <c r="C1" s="1" t="s">
        <v>0</v>
      </c>
      <c r="D1" s="1" t="s">
        <v>102</v>
      </c>
      <c r="E1" s="1" t="s">
        <v>3</v>
      </c>
    </row>
    <row r="2" customFormat="false" ht="30" hidden="false" customHeight="true" outlineLevel="0" collapsed="false">
      <c r="A2" s="6" t="n">
        <v>2</v>
      </c>
      <c r="B2" s="6" t="s">
        <v>103</v>
      </c>
      <c r="C2" s="7" t="s">
        <v>4</v>
      </c>
      <c r="D2" s="6" t="n">
        <f aca="false">Review!C2</f>
        <v>0</v>
      </c>
      <c r="E2" s="7" t="n">
        <f aca="false">Review!D2</f>
        <v>0</v>
      </c>
    </row>
    <row r="3" customFormat="false" ht="30" hidden="false" customHeight="true" outlineLevel="0" collapsed="false">
      <c r="A3" s="6" t="n">
        <v>3</v>
      </c>
      <c r="B3" s="6" t="s">
        <v>104</v>
      </c>
      <c r="C3" s="7" t="s">
        <v>6</v>
      </c>
      <c r="D3" s="6" t="n">
        <f aca="false">Review!C3</f>
        <v>0</v>
      </c>
      <c r="E3" s="7" t="n">
        <f aca="false">Review!D3</f>
        <v>0</v>
      </c>
    </row>
    <row r="4" customFormat="false" ht="30" hidden="false" customHeight="true" outlineLevel="0" collapsed="false">
      <c r="A4" s="6" t="n">
        <v>4</v>
      </c>
      <c r="B4" s="6" t="s">
        <v>105</v>
      </c>
      <c r="C4" s="7" t="s">
        <v>8</v>
      </c>
      <c r="D4" s="6" t="n">
        <f aca="false">Review!C4</f>
        <v>0</v>
      </c>
      <c r="E4" s="7" t="n">
        <f aca="false">Review!D4</f>
        <v>0</v>
      </c>
    </row>
    <row r="5" customFormat="false" ht="30" hidden="false" customHeight="true" outlineLevel="0" collapsed="false">
      <c r="A5" s="6" t="n">
        <v>5</v>
      </c>
      <c r="B5" s="6" t="s">
        <v>106</v>
      </c>
      <c r="C5" s="7" t="s">
        <v>10</v>
      </c>
      <c r="D5" s="6" t="n">
        <f aca="false">Review!C5</f>
        <v>0</v>
      </c>
      <c r="E5" s="7" t="n">
        <f aca="false">Review!D5</f>
        <v>0</v>
      </c>
    </row>
    <row r="6" customFormat="false" ht="30" hidden="false" customHeight="true" outlineLevel="0" collapsed="false">
      <c r="A6" s="6" t="n">
        <v>6</v>
      </c>
      <c r="B6" s="6" t="s">
        <v>107</v>
      </c>
      <c r="C6" s="7" t="s">
        <v>12</v>
      </c>
      <c r="D6" s="6" t="n">
        <f aca="false">Review!C6</f>
        <v>0</v>
      </c>
      <c r="E6" s="7" t="n">
        <f aca="false">Review!D6</f>
        <v>0</v>
      </c>
    </row>
    <row r="7" customFormat="false" ht="30" hidden="false" customHeight="true" outlineLevel="0" collapsed="false">
      <c r="A7" s="6" t="n">
        <v>7</v>
      </c>
      <c r="B7" s="6" t="s">
        <v>108</v>
      </c>
      <c r="C7" s="7" t="s">
        <v>14</v>
      </c>
      <c r="D7" s="6" t="n">
        <f aca="false">Review!C7</f>
        <v>0</v>
      </c>
      <c r="E7" s="7" t="n">
        <f aca="false">Review!D7</f>
        <v>0</v>
      </c>
    </row>
    <row r="8" customFormat="false" ht="30" hidden="false" customHeight="true" outlineLevel="0" collapsed="false">
      <c r="A8" s="6" t="n">
        <v>8</v>
      </c>
      <c r="B8" s="6" t="s">
        <v>109</v>
      </c>
      <c r="C8" s="7" t="s">
        <v>16</v>
      </c>
      <c r="D8" s="6" t="n">
        <f aca="false">Review!C8</f>
        <v>0</v>
      </c>
      <c r="E8" s="7" t="n">
        <f aca="false">Review!D8</f>
        <v>0</v>
      </c>
    </row>
    <row r="9" customFormat="false" ht="30" hidden="false" customHeight="true" outlineLevel="0" collapsed="false">
      <c r="A9" s="6" t="n">
        <v>9</v>
      </c>
      <c r="B9" s="6" t="s">
        <v>110</v>
      </c>
      <c r="C9" s="7" t="s">
        <v>18</v>
      </c>
      <c r="D9" s="6" t="n">
        <f aca="false">Review!C9</f>
        <v>0</v>
      </c>
      <c r="E9" s="7" t="n">
        <f aca="false">Review!D9</f>
        <v>0</v>
      </c>
    </row>
    <row r="10" customFormat="false" ht="30" hidden="false" customHeight="true" outlineLevel="0" collapsed="false">
      <c r="A10" s="6" t="n">
        <v>10</v>
      </c>
      <c r="B10" s="6" t="s">
        <v>111</v>
      </c>
      <c r="C10" s="7" t="s">
        <v>20</v>
      </c>
      <c r="D10" s="6" t="n">
        <f aca="false">Review!C10</f>
        <v>0</v>
      </c>
      <c r="E10" s="7" t="n">
        <f aca="false">Review!D10</f>
        <v>0</v>
      </c>
    </row>
    <row r="11" customFormat="false" ht="30" hidden="false" customHeight="true" outlineLevel="0" collapsed="false">
      <c r="A11" s="6" t="n">
        <v>11</v>
      </c>
      <c r="B11" s="6" t="s">
        <v>112</v>
      </c>
      <c r="C11" s="7" t="s">
        <v>22</v>
      </c>
      <c r="D11" s="6" t="n">
        <f aca="false">Review!C11</f>
        <v>0</v>
      </c>
      <c r="E11" s="7" t="n">
        <f aca="false">Review!D11</f>
        <v>0</v>
      </c>
    </row>
    <row r="12" customFormat="false" ht="30" hidden="false" customHeight="true" outlineLevel="0" collapsed="false">
      <c r="A12" s="6" t="n">
        <v>12</v>
      </c>
      <c r="B12" s="6" t="s">
        <v>113</v>
      </c>
      <c r="C12" s="7" t="s">
        <v>24</v>
      </c>
      <c r="D12" s="6" t="n">
        <f aca="false">Review!C12</f>
        <v>0</v>
      </c>
      <c r="E12" s="7" t="n">
        <f aca="false">Review!D12</f>
        <v>0</v>
      </c>
    </row>
    <row r="13" customFormat="false" ht="30" hidden="false" customHeight="true" outlineLevel="0" collapsed="false">
      <c r="A13" s="6" t="n">
        <v>13</v>
      </c>
      <c r="B13" s="6" t="s">
        <v>114</v>
      </c>
      <c r="C13" s="7" t="s">
        <v>26</v>
      </c>
      <c r="D13" s="6" t="n">
        <f aca="false">Review!C13</f>
        <v>0</v>
      </c>
      <c r="E13" s="7" t="n">
        <f aca="false">Review!D13</f>
        <v>0</v>
      </c>
    </row>
    <row r="14" customFormat="false" ht="30" hidden="false" customHeight="true" outlineLevel="0" collapsed="false">
      <c r="A14" s="6" t="n">
        <v>14</v>
      </c>
      <c r="B14" s="6" t="s">
        <v>115</v>
      </c>
      <c r="C14" s="7" t="s">
        <v>28</v>
      </c>
      <c r="D14" s="6" t="n">
        <f aca="false">Review!C14</f>
        <v>0</v>
      </c>
      <c r="E14" s="7" t="n">
        <f aca="false">Review!D14</f>
        <v>0</v>
      </c>
    </row>
    <row r="15" customFormat="false" ht="30" hidden="false" customHeight="true" outlineLevel="0" collapsed="false">
      <c r="A15" s="6" t="n">
        <v>15</v>
      </c>
      <c r="B15" s="6" t="s">
        <v>116</v>
      </c>
      <c r="C15" s="7" t="s">
        <v>30</v>
      </c>
      <c r="D15" s="6" t="n">
        <f aca="false">Review!C15</f>
        <v>0</v>
      </c>
      <c r="E15" s="7" t="n">
        <f aca="false">Review!D15</f>
        <v>0</v>
      </c>
    </row>
    <row r="16" customFormat="false" ht="30" hidden="false" customHeight="true" outlineLevel="0" collapsed="false">
      <c r="A16" s="6" t="n">
        <v>16</v>
      </c>
      <c r="B16" s="6" t="s">
        <v>117</v>
      </c>
      <c r="C16" s="7" t="s">
        <v>32</v>
      </c>
      <c r="D16" s="6" t="n">
        <f aca="false">Review!C16</f>
        <v>0</v>
      </c>
      <c r="E16" s="7" t="n">
        <f aca="false">Review!D16</f>
        <v>0</v>
      </c>
    </row>
    <row r="17" customFormat="false" ht="30" hidden="false" customHeight="true" outlineLevel="0" collapsed="false">
      <c r="A17" s="6" t="n">
        <v>17</v>
      </c>
      <c r="B17" s="6" t="s">
        <v>118</v>
      </c>
      <c r="C17" s="7" t="s">
        <v>34</v>
      </c>
      <c r="D17" s="6" t="n">
        <f aca="false">Review!C17</f>
        <v>0</v>
      </c>
      <c r="E17" s="7" t="n">
        <f aca="false">Review!D17</f>
        <v>0</v>
      </c>
    </row>
    <row r="18" customFormat="false" ht="30" hidden="false" customHeight="true" outlineLevel="0" collapsed="false">
      <c r="A18" s="6" t="n">
        <v>18</v>
      </c>
      <c r="B18" s="6" t="s">
        <v>119</v>
      </c>
      <c r="C18" s="7" t="s">
        <v>36</v>
      </c>
      <c r="D18" s="6" t="n">
        <f aca="false">Review!C18</f>
        <v>0</v>
      </c>
      <c r="E18" s="7" t="n">
        <f aca="false">Review!D18</f>
        <v>0</v>
      </c>
    </row>
    <row r="19" customFormat="false" ht="30" hidden="false" customHeight="true" outlineLevel="0" collapsed="false">
      <c r="A19" s="6" t="n">
        <v>19</v>
      </c>
      <c r="B19" s="6" t="s">
        <v>120</v>
      </c>
      <c r="C19" s="7" t="s">
        <v>38</v>
      </c>
      <c r="D19" s="6" t="n">
        <f aca="false">Review!C19</f>
        <v>0</v>
      </c>
      <c r="E19" s="7" t="n">
        <f aca="false">Review!D19</f>
        <v>0</v>
      </c>
    </row>
    <row r="20" customFormat="false" ht="30" hidden="false" customHeight="true" outlineLevel="0" collapsed="false">
      <c r="A20" s="6" t="n">
        <v>20</v>
      </c>
      <c r="B20" s="6" t="s">
        <v>121</v>
      </c>
      <c r="C20" s="7" t="s">
        <v>40</v>
      </c>
      <c r="D20" s="6" t="n">
        <f aca="false">Review!C20</f>
        <v>0</v>
      </c>
      <c r="E20" s="7" t="n">
        <f aca="false">Review!D20</f>
        <v>0</v>
      </c>
    </row>
    <row r="21" customFormat="false" ht="30" hidden="false" customHeight="true" outlineLevel="0" collapsed="false">
      <c r="A21" s="6" t="n">
        <v>21</v>
      </c>
      <c r="B21" s="6" t="s">
        <v>122</v>
      </c>
      <c r="C21" s="7" t="s">
        <v>42</v>
      </c>
      <c r="D21" s="6" t="n">
        <f aca="false">Review!C21</f>
        <v>0</v>
      </c>
      <c r="E21" s="7" t="n">
        <f aca="false">Review!D21</f>
        <v>0</v>
      </c>
    </row>
    <row r="22" customFormat="false" ht="30" hidden="false" customHeight="true" outlineLevel="0" collapsed="false">
      <c r="A22" s="6" t="n">
        <v>22</v>
      </c>
      <c r="B22" s="6" t="s">
        <v>123</v>
      </c>
      <c r="C22" s="7" t="s">
        <v>44</v>
      </c>
      <c r="D22" s="6" t="n">
        <f aca="false">Review!C22</f>
        <v>0</v>
      </c>
      <c r="E22" s="7" t="n">
        <f aca="false">Review!D22</f>
        <v>0</v>
      </c>
    </row>
    <row r="23" customFormat="false" ht="30" hidden="false" customHeight="true" outlineLevel="0" collapsed="false">
      <c r="A23" s="6" t="n">
        <v>23</v>
      </c>
      <c r="B23" s="6" t="s">
        <v>124</v>
      </c>
      <c r="C23" s="7" t="s">
        <v>46</v>
      </c>
      <c r="D23" s="6" t="n">
        <f aca="false">Review!C23</f>
        <v>0</v>
      </c>
      <c r="E23" s="7" t="n">
        <f aca="false">Review!D23</f>
        <v>0</v>
      </c>
    </row>
    <row r="24" customFormat="false" ht="30" hidden="false" customHeight="true" outlineLevel="0" collapsed="false">
      <c r="A24" s="6" t="n">
        <v>24</v>
      </c>
      <c r="B24" s="6" t="s">
        <v>125</v>
      </c>
      <c r="C24" s="7" t="s">
        <v>48</v>
      </c>
      <c r="D24" s="6" t="n">
        <f aca="false">Review!C24</f>
        <v>0</v>
      </c>
      <c r="E24" s="7" t="n">
        <f aca="false">Review!D24</f>
        <v>0</v>
      </c>
    </row>
    <row r="25" customFormat="false" ht="30" hidden="false" customHeight="true" outlineLevel="0" collapsed="false">
      <c r="A25" s="6" t="n">
        <v>25</v>
      </c>
      <c r="B25" s="6" t="s">
        <v>126</v>
      </c>
      <c r="C25" s="7" t="s">
        <v>50</v>
      </c>
      <c r="D25" s="6" t="n">
        <f aca="false">Review!C25</f>
        <v>0</v>
      </c>
      <c r="E25" s="7" t="n">
        <f aca="false">Review!D25</f>
        <v>0</v>
      </c>
    </row>
    <row r="26" customFormat="false" ht="30" hidden="false" customHeight="true" outlineLevel="0" collapsed="false">
      <c r="A26" s="6" t="n">
        <v>26</v>
      </c>
      <c r="B26" s="6" t="s">
        <v>127</v>
      </c>
      <c r="C26" s="7" t="s">
        <v>52</v>
      </c>
      <c r="D26" s="6" t="n">
        <f aca="false">Review!C26</f>
        <v>0</v>
      </c>
      <c r="E26" s="7" t="n">
        <f aca="false">Review!D26</f>
        <v>0</v>
      </c>
    </row>
    <row r="27" customFormat="false" ht="30" hidden="false" customHeight="true" outlineLevel="0" collapsed="false">
      <c r="A27" s="6" t="n">
        <v>27</v>
      </c>
      <c r="B27" s="6" t="s">
        <v>128</v>
      </c>
      <c r="C27" s="7" t="s">
        <v>54</v>
      </c>
      <c r="D27" s="6" t="n">
        <f aca="false">Review!C27</f>
        <v>0</v>
      </c>
      <c r="E27" s="7" t="n">
        <f aca="false">Review!D27</f>
        <v>0</v>
      </c>
    </row>
    <row r="28" customFormat="false" ht="30" hidden="false" customHeight="true" outlineLevel="0" collapsed="false">
      <c r="A28" s="6" t="n">
        <v>28</v>
      </c>
      <c r="B28" s="6" t="s">
        <v>129</v>
      </c>
      <c r="C28" s="7" t="s">
        <v>56</v>
      </c>
      <c r="D28" s="6" t="n">
        <f aca="false">Review!C28</f>
        <v>0</v>
      </c>
      <c r="E28" s="7" t="n">
        <f aca="false">Review!D28</f>
        <v>0</v>
      </c>
    </row>
    <row r="29" customFormat="false" ht="30" hidden="false" customHeight="true" outlineLevel="0" collapsed="false">
      <c r="A29" s="6" t="n">
        <v>29</v>
      </c>
      <c r="B29" s="6" t="s">
        <v>130</v>
      </c>
      <c r="C29" s="7" t="s">
        <v>58</v>
      </c>
      <c r="D29" s="6" t="n">
        <f aca="false">Review!C29</f>
        <v>0</v>
      </c>
      <c r="E29" s="7" t="n">
        <f aca="false">Review!D29</f>
        <v>0</v>
      </c>
    </row>
    <row r="30" customFormat="false" ht="30" hidden="false" customHeight="true" outlineLevel="0" collapsed="false">
      <c r="A30" s="6" t="n">
        <v>30</v>
      </c>
      <c r="B30" s="6" t="s">
        <v>131</v>
      </c>
      <c r="C30" s="7" t="s">
        <v>60</v>
      </c>
      <c r="D30" s="6" t="n">
        <f aca="false">Review!C30</f>
        <v>0</v>
      </c>
      <c r="E30" s="7" t="n">
        <f aca="false">Review!D30</f>
        <v>0</v>
      </c>
    </row>
    <row r="31" customFormat="false" ht="30" hidden="false" customHeight="true" outlineLevel="0" collapsed="false">
      <c r="A31" s="6" t="n">
        <v>31</v>
      </c>
      <c r="B31" s="6" t="s">
        <v>132</v>
      </c>
      <c r="C31" s="7" t="s">
        <v>62</v>
      </c>
      <c r="D31" s="6" t="n">
        <f aca="false">Review!C31</f>
        <v>0</v>
      </c>
      <c r="E31" s="7" t="n">
        <f aca="false">Review!D31</f>
        <v>0</v>
      </c>
    </row>
    <row r="32" customFormat="false" ht="30" hidden="false" customHeight="true" outlineLevel="0" collapsed="false">
      <c r="A32" s="6" t="n">
        <v>32</v>
      </c>
      <c r="B32" s="6" t="s">
        <v>133</v>
      </c>
      <c r="C32" s="7" t="s">
        <v>64</v>
      </c>
      <c r="D32" s="6" t="n">
        <f aca="false">Review!C32</f>
        <v>0</v>
      </c>
      <c r="E32" s="7" t="n">
        <f aca="false">Review!D32</f>
        <v>0</v>
      </c>
    </row>
    <row r="33" customFormat="false" ht="30" hidden="false" customHeight="true" outlineLevel="0" collapsed="false">
      <c r="A33" s="6" t="n">
        <v>33</v>
      </c>
      <c r="B33" s="6" t="s">
        <v>134</v>
      </c>
      <c r="C33" s="7" t="s">
        <v>66</v>
      </c>
      <c r="D33" s="6" t="n">
        <f aca="false">Review!C33</f>
        <v>0</v>
      </c>
      <c r="E33" s="7" t="n">
        <f aca="false">Review!D33</f>
        <v>0</v>
      </c>
    </row>
    <row r="34" customFormat="false" ht="30" hidden="false" customHeight="true" outlineLevel="0" collapsed="false">
      <c r="A34" s="6" t="n">
        <v>34</v>
      </c>
      <c r="B34" s="6" t="s">
        <v>135</v>
      </c>
      <c r="C34" s="7" t="s">
        <v>68</v>
      </c>
      <c r="D34" s="6" t="n">
        <f aca="false">Review!C34</f>
        <v>0</v>
      </c>
      <c r="E34" s="7" t="n">
        <f aca="false">Review!D34</f>
        <v>0</v>
      </c>
    </row>
    <row r="35" customFormat="false" ht="30" hidden="false" customHeight="true" outlineLevel="0" collapsed="false">
      <c r="A35" s="6" t="n">
        <v>35</v>
      </c>
      <c r="B35" s="6" t="s">
        <v>136</v>
      </c>
      <c r="C35" s="7" t="s">
        <v>70</v>
      </c>
      <c r="D35" s="6" t="n">
        <f aca="false">Review!C35</f>
        <v>0</v>
      </c>
      <c r="E35" s="7" t="n">
        <f aca="false">Review!D35</f>
        <v>0</v>
      </c>
    </row>
    <row r="36" customFormat="false" ht="30" hidden="false" customHeight="true" outlineLevel="0" collapsed="false">
      <c r="A36" s="6" t="n">
        <v>36</v>
      </c>
      <c r="B36" s="6" t="s">
        <v>137</v>
      </c>
      <c r="C36" s="7" t="s">
        <v>72</v>
      </c>
      <c r="D36" s="6" t="n">
        <f aca="false">Review!C36</f>
        <v>0</v>
      </c>
      <c r="E36" s="7" t="n">
        <f aca="false">Review!D36</f>
        <v>0</v>
      </c>
    </row>
    <row r="37" customFormat="false" ht="30" hidden="false" customHeight="true" outlineLevel="0" collapsed="false">
      <c r="A37" s="6" t="n">
        <v>37</v>
      </c>
      <c r="B37" s="6" t="s">
        <v>138</v>
      </c>
      <c r="C37" s="7" t="s">
        <v>74</v>
      </c>
      <c r="D37" s="6" t="n">
        <f aca="false">Review!C37</f>
        <v>0</v>
      </c>
      <c r="E37" s="7" t="n">
        <f aca="false">Review!D37</f>
        <v>0</v>
      </c>
    </row>
    <row r="38" customFormat="false" ht="30" hidden="false" customHeight="true" outlineLevel="0" collapsed="false">
      <c r="A38" s="6" t="n">
        <v>38</v>
      </c>
      <c r="B38" s="6" t="s">
        <v>139</v>
      </c>
      <c r="C38" s="7" t="s">
        <v>76</v>
      </c>
      <c r="D38" s="6" t="n">
        <f aca="false">Review!C38</f>
        <v>0</v>
      </c>
      <c r="E38" s="7" t="n">
        <f aca="false">Review!D38</f>
        <v>0</v>
      </c>
    </row>
    <row r="39" customFormat="false" ht="30" hidden="false" customHeight="true" outlineLevel="0" collapsed="false">
      <c r="A39" s="6" t="n">
        <v>39</v>
      </c>
      <c r="B39" s="6" t="s">
        <v>140</v>
      </c>
      <c r="C39" s="7" t="s">
        <v>78</v>
      </c>
      <c r="D39" s="6" t="n">
        <f aca="false">Review!C39</f>
        <v>0</v>
      </c>
      <c r="E39" s="7" t="n">
        <f aca="false">Review!D39</f>
        <v>0</v>
      </c>
    </row>
    <row r="40" customFormat="false" ht="30" hidden="false" customHeight="true" outlineLevel="0" collapsed="false">
      <c r="A40" s="6" t="n">
        <v>40</v>
      </c>
      <c r="B40" s="6" t="s">
        <v>141</v>
      </c>
      <c r="C40" s="7" t="s">
        <v>80</v>
      </c>
      <c r="D40" s="6" t="n">
        <f aca="false">Review!C40</f>
        <v>0</v>
      </c>
      <c r="E40" s="7" t="n">
        <f aca="false">Review!D40</f>
        <v>0</v>
      </c>
    </row>
    <row r="41" customFormat="false" ht="30" hidden="false" customHeight="true" outlineLevel="0" collapsed="false">
      <c r="A41" s="6" t="n">
        <v>41</v>
      </c>
      <c r="B41" s="6" t="s">
        <v>142</v>
      </c>
      <c r="C41" s="7" t="s">
        <v>82</v>
      </c>
      <c r="D41" s="6" t="n">
        <f aca="false">Review!C41</f>
        <v>0</v>
      </c>
      <c r="E41" s="7" t="n">
        <f aca="false">Review!D41</f>
        <v>0</v>
      </c>
    </row>
    <row r="42" customFormat="false" ht="30" hidden="false" customHeight="true" outlineLevel="0" collapsed="false">
      <c r="A42" s="6" t="n">
        <v>42</v>
      </c>
      <c r="B42" s="6" t="s">
        <v>143</v>
      </c>
      <c r="C42" s="7" t="s">
        <v>84</v>
      </c>
      <c r="D42" s="6" t="n">
        <f aca="false">Review!C42</f>
        <v>0</v>
      </c>
      <c r="E42" s="7" t="n">
        <f aca="false">Review!D42</f>
        <v>0</v>
      </c>
    </row>
    <row r="43" customFormat="false" ht="30" hidden="false" customHeight="true" outlineLevel="0" collapsed="false">
      <c r="A43" s="6" t="n">
        <v>43</v>
      </c>
      <c r="B43" s="6" t="s">
        <v>144</v>
      </c>
      <c r="C43" s="7" t="s">
        <v>86</v>
      </c>
      <c r="D43" s="6" t="n">
        <f aca="false">Review!C43</f>
        <v>0</v>
      </c>
      <c r="E43" s="7" t="n">
        <f aca="false">Review!D43</f>
        <v>0</v>
      </c>
    </row>
    <row r="44" customFormat="false" ht="30" hidden="false" customHeight="true" outlineLevel="0" collapsed="false">
      <c r="A44" s="6" t="n">
        <v>44</v>
      </c>
      <c r="B44" s="6" t="s">
        <v>145</v>
      </c>
      <c r="C44" s="7" t="s">
        <v>88</v>
      </c>
      <c r="D44" s="6" t="n">
        <f aca="false">Review!C44</f>
        <v>0</v>
      </c>
      <c r="E44" s="7" t="n">
        <f aca="false">Review!D44</f>
        <v>0</v>
      </c>
    </row>
    <row r="45" customFormat="false" ht="30" hidden="false" customHeight="true" outlineLevel="0" collapsed="false">
      <c r="A45" s="6" t="n">
        <v>45</v>
      </c>
      <c r="B45" s="6" t="s">
        <v>146</v>
      </c>
      <c r="C45" s="7" t="s">
        <v>90</v>
      </c>
      <c r="D45" s="6" t="n">
        <f aca="false">Review!C45</f>
        <v>0</v>
      </c>
      <c r="E45" s="7" t="n">
        <f aca="false">Review!D45</f>
        <v>0</v>
      </c>
    </row>
    <row r="46" customFormat="false" ht="30" hidden="false" customHeight="true" outlineLevel="0" collapsed="false">
      <c r="A46" s="6" t="n">
        <v>46</v>
      </c>
      <c r="B46" s="6" t="s">
        <v>147</v>
      </c>
      <c r="C46" s="7" t="s">
        <v>92</v>
      </c>
      <c r="D46" s="6" t="n">
        <f aca="false">Review!C46</f>
        <v>0</v>
      </c>
      <c r="E46" s="7" t="n">
        <f aca="false">Review!D46</f>
        <v>0</v>
      </c>
    </row>
    <row r="47" customFormat="false" ht="30" hidden="false" customHeight="true" outlineLevel="0" collapsed="false">
      <c r="A47" s="6" t="n">
        <v>47</v>
      </c>
      <c r="B47" s="6" t="s">
        <v>148</v>
      </c>
      <c r="C47" s="7" t="s">
        <v>94</v>
      </c>
      <c r="D47" s="6" t="n">
        <f aca="false">Review!C47</f>
        <v>0</v>
      </c>
      <c r="E47" s="7" t="n">
        <f aca="false">Review!D47</f>
        <v>0</v>
      </c>
    </row>
    <row r="48" customFormat="false" ht="30" hidden="false" customHeight="true" outlineLevel="0" collapsed="false">
      <c r="A48" s="6" t="n">
        <v>48</v>
      </c>
      <c r="B48" s="6" t="s">
        <v>149</v>
      </c>
      <c r="C48" s="7" t="s">
        <v>96</v>
      </c>
      <c r="D48" s="6" t="n">
        <f aca="false">Review!C48</f>
        <v>0</v>
      </c>
      <c r="E48" s="7" t="n">
        <f aca="false">Review!D48</f>
        <v>0</v>
      </c>
    </row>
    <row r="49" customFormat="false" ht="30" hidden="false" customHeight="true" outlineLevel="0" collapsed="false">
      <c r="A49" s="6" t="n">
        <v>49</v>
      </c>
      <c r="B49" s="6" t="s">
        <v>150</v>
      </c>
      <c r="C49" s="7" t="s">
        <v>98</v>
      </c>
      <c r="D49" s="6" t="n">
        <f aca="false">Review!C49</f>
        <v>0</v>
      </c>
      <c r="E49" s="7" t="n">
        <f aca="false">Review!D49</f>
        <v>0</v>
      </c>
    </row>
    <row r="51" customFormat="false" ht="15" hidden="false" customHeight="false" outlineLevel="0" collapsed="false">
      <c r="B51" s="8" t="s">
        <v>151</v>
      </c>
      <c r="C51" s="6" t="n">
        <f aca="false">COUNTA(Review!A2:A49)</f>
        <v>48</v>
      </c>
    </row>
    <row r="52" customFormat="false" ht="15" hidden="false" customHeight="false" outlineLevel="0" collapsed="false">
      <c r="B52" s="8" t="s">
        <v>152</v>
      </c>
      <c r="C52" s="6" t="n">
        <f aca="false">COUNT(Review!C2:C49)</f>
        <v>0</v>
      </c>
    </row>
    <row r="53" customFormat="false" ht="15" hidden="false" customHeight="false" outlineLevel="0" collapsed="false">
      <c r="B53" s="8" t="s">
        <v>153</v>
      </c>
      <c r="C53" s="6" t="n">
        <f aca="false">COUNTIFS(Review!C2:C49,"&lt;=3",Review!C2:C49,"&gt;0")</f>
        <v>0</v>
      </c>
    </row>
    <row r="54" customFormat="false" ht="15" hidden="false" customHeight="false" outlineLevel="0" collapsed="false">
      <c r="B54" s="8" t="s">
        <v>154</v>
      </c>
      <c r="C54" s="6" t="str">
        <f aca="false">IFERROR(ROUND(AVERAGE(Review!C2:C49),2),"-")</f>
        <v>-</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2026-08-26T15:03:39Z</dcterms:created>
  <dc:creator>openpyxl</dc:creator>
  <dc:description/>
  <dc:language>en-US</dc:language>
  <cp:lastModifiedBy/>
  <dcterms:modified xsi:type="dcterms:W3CDTF">2026-08-26T15:03:39Z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